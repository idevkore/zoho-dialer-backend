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UsageActuals" sheetId="2" state="visible" r:id="rId2"/>
    <sheet name="UnitEconomics" sheetId="3" state="visible" r:id="rId3"/>
    <sheet name="VoiceSKUs" sheetId="4" state="visible" r:id="rId4"/>
    <sheet name="Tiers" sheetId="5" state="visible" r:id="rId5"/>
    <sheet name="Hosting" sheetId="6" state="visible" r:id="rId6"/>
    <sheet name="Forecast" sheetId="7" state="visible" r:id="rId7"/>
    <sheet name="Sensitivity" sheetId="8" state="visible" r:id="rId8"/>
  </sheets>
  <definedNames>
    <definedName name="mkt_brokers">Assumptions!$C$6</definedName>
    <definedName name="mkt_brokers_high">Assumptions!$C$7</definedName>
    <definedName name="mkt_carriers">Assumptions!$C$8</definedName>
    <definedName name="mkt_carriers_ds">Assumptions!$C$9</definedName>
    <definedName name="mkt_overlap">Assumptions!$C$10</definedName>
    <definedName name="mkt_case">Assumptions!$C$11</definedName>
    <definedName name="addressable">Assumptions!$C$12</definedName>
    <definedName name="pen_low">Assumptions!$C$13</definedName>
    <definedName name="pen_base">Assumptions!$C$14</definedName>
    <definedName name="pen_high">Assumptions!$C$15</definedName>
    <definedName name="ramp_exp">Assumptions!$C$16</definedName>
    <definedName name="start_tenants">Assumptions!$C$17</definedName>
    <definedName name="churn_m">Assumptions!$C$18</definedName>
    <definedName name="p_platform">Assumptions!$C$21</definedName>
    <definedName name="p_dialer">Assumptions!$C$22</definedName>
    <definedName name="incl_min">Assumptions!$C$23</definedName>
    <definedName name="over_mult">Assumptions!$C$24</definedName>
    <definedName name="bill_over">Assumptions!$C$25</definedName>
    <definedName name="p_sms">Assumptions!$C$26</definedName>
    <definedName name="incl_seg">Assumptions!$C$27</definedName>
    <definedName name="sms_setup">Assumptions!$C$28</definedName>
    <definedName name="p_comp">Assumptions!$C$29</definedName>
    <definedName name="p_ai">Assumptions!$C$30</definedName>
    <definedName name="p_onboard">Assumptions!$C$31</definedName>
    <definedName name="bundle_disc">Assumptions!$C$32</definedName>
    <definedName name="att_dialer">Assumptions!$C$33</definedName>
    <definedName name="att_sms">Assumptions!$C$34</definedName>
    <definedName name="att_comp">Assumptions!$C$35</definedName>
    <definedName name="att_ai">Assumptions!$C$36</definedName>
    <definedName name="zoho_margin">Assumptions!$C$37</definedName>
    <definedName name="target_gm">Assumptions!$C$38</definedName>
    <definedName name="seats">Assumptions!$C$41</definedName>
    <definedName name="nums_per_seat">Assumptions!$C$42</definedName>
    <definedName name="nums_shared">Assumptions!$C$43</definedName>
    <definedName name="leads_per_seat">Assumptions!$C$44</definedName>
    <definedName name="d_leads">Assumptions!$C$45</definedName>
    <definedName name="workdays">Assumptions!$C$48</definedName>
    <definedName name="att_day">Assumptions!$C$49</definedName>
    <definedName name="sh_person">Assumptions!$C$50</definedName>
    <definedName name="sh_vm">Assumptions!$C$51</definedName>
    <definedName name="sh_unans">Assumptions!$C$52</definedName>
    <definedName name="min_person">Assumptions!$C$53</definedName>
    <definedName name="min_vm">Assumptions!$C$54</definedName>
    <definedName name="min_ring">Assumptions!$C$55</definedName>
    <definedName name="in_day">Assumptions!$C$56</definedName>
    <definedName name="in_ans">Assumptions!$C$57</definedName>
    <definedName name="min_in">Assumptions!$C$58</definedName>
    <definedName name="min_in_unans">Assumptions!$C$59</definedName>
    <definedName name="rec_out">Assumptions!$C$60</definedName>
    <definedName name="rec_in">Assumptions!$C$61</definedName>
    <definedName name="retention">Assumptions!$C$62</definedName>
    <definedName name="amd_on">Assumptions!$C$63</definedName>
    <definedName name="band">Assumptions!$C$64</definedName>
    <definedName name="d_attempts">Assumptions!$C$65</definedName>
    <definedName name="d_out_min">Assumptions!$C$66</definedName>
    <definedName name="d_in_calls">Assumptions!$C$67</definedName>
    <definedName name="d_in_min">Assumptions!$C$68</definedName>
    <definedName name="d_browser_min">Assumptions!$C$69</definedName>
    <definedName name="d_rec_min">Assumptions!$C$70</definedName>
    <definedName name="d_calls">Assumptions!$C$71</definedName>
    <definedName name="d_amd">Assumptions!$C$72</definedName>
    <definedName name="texts_per_lead">Assumptions!$C$75</definedName>
    <definedName name="seg_per_text">Assumptions!$C$76</definedName>
    <definedName name="manual_day">Assumptions!$C$77</definedName>
    <definedName name="seg_manual">Assumptions!$C$78</definedName>
    <definedName name="reply_rate">Assumptions!$C$79</definedName>
    <definedName name="in_per_reply">Assumptions!$C$80</definedName>
    <definedName name="d_seg_out">Assumptions!$C$81</definedName>
    <definedName name="d_seg_in">Assumptions!$C$82</definedName>
    <definedName name="ai_turns">Assumptions!$C$85</definedName>
    <definedName name="tok_in">Assumptions!$C$86</definedName>
    <definedName name="tok_out">Assumptions!$C$87</definedName>
    <definedName name="ai_seg_out">Assumptions!$C$88</definedName>
    <definedName name="ai_seg_in">Assumptions!$C$89</definedName>
    <definedName name="d_ai_convos">Assumptions!$C$90</definedName>
    <definedName name="tw_out">Assumptions!$C$93</definedName>
    <definedName name="tw_in">Assumptions!$C$94</definedName>
    <definedName name="tw_client">Assumptions!$C$95</definedName>
    <definedName name="tw_rec">Assumptions!$C$96</definedName>
    <definedName name="tw_store">Assumptions!$C$97</definedName>
    <definedName name="tw_num">Assumptions!$C$98</definedName>
    <definedName name="tw_amd">Assumptions!$C$99</definedName>
    <definedName name="tw_sms_out">Assumptions!$C$102</definedName>
    <definedName name="tw_sms_in">Assumptions!$C$103</definedName>
    <definedName name="tw_car_out">Assumptions!$C$104</definedName>
    <definedName name="tw_car_in">Assumptions!$C$105</definedName>
    <definedName name="tw_brand">Assumptions!$C$106</definedName>
    <definedName name="tw_vet">Assumptions!$C$107</definedName>
    <definedName name="tw_camp_mo">Assumptions!$C$108</definedName>
    <definedName name="sms_nums">Assumptions!$C$109</definedName>
    <definedName name="zc_pro">Assumptions!$C$112</definedName>
    <definedName name="zc_ent">Assumptions!$C$113</definedName>
    <definedName name="zc_ult">Assumptions!$C$114</definedName>
    <definedName name="zc_edition">Assumptions!$C$115</definedName>
    <definedName name="zc_list">Assumptions!$C$116</definedName>
    <definedName name="api_base">Assumptions!$C$117</definedName>
    <definedName name="api_user_pro">Assumptions!$C$118</definedName>
    <definedName name="api_user_ent">Assumptions!$C$119</definedName>
    <definedName name="api_user_ult">Assumptions!$C$120</definedName>
    <definedName name="api_allow">Assumptions!$C$121</definedName>
    <definedName name="credits_per_call">Assumptions!$C$122</definedName>
    <definedName name="zv_user">Assumptions!$C$123</definedName>
    <definedName name="zv_power">Assumptions!$C$124</definedName>
    <definedName name="zv_auto">Assumptions!$C$125</definedName>
    <definedName name="zma_plan">Assumptions!$C$126</definedName>
    <definedName name="zma_sms">Assumptions!$C$127</definedName>
    <definedName name="zma_fixed">Assumptions!$C$128</definedName>
    <definedName name="llm_in">Assumptions!$C$131</definedName>
    <definedName name="llm_out">Assumptions!$C$132</definedName>
    <definedName name="forge_plan">Assumptions!$C$135</definedName>
    <definedName name="ec2_inst">Assumptions!$C$136</definedName>
    <definedName name="ebs_gb">Assumptions!$C$137</definedName>
    <definedName name="ebs_price">Assumptions!$C$138</definedName>
    <definedName name="ip_addr">Assumptions!$C$139</definedName>
    <definedName name="host_alloc">Assumptions!$C$140</definedName>
    <definedName name="cap_srv">Assumptions!$C$141</definedName>
    <definedName name="az_plan">Assumptions!$C$144</definedName>
    <definedName name="az_min">Assumptions!$C$145</definedName>
    <definedName name="az_cap">Assumptions!$C$146</definedName>
    <definedName name="kv_price">Assumptions!$C$147</definedName>
    <definedName name="kv_ops">Assumptions!$C$148</definedName>
    <definedName name="blob_price">Assumptions!$C$149</definedName>
    <definedName name="blob_gb">Assumptions!$C$150</definedName>
    <definedName name="tbl_price">Assumptions!$C$151</definedName>
    <definedName name="tbl_gb">Assumptions!$C$152</definedName>
    <definedName name="tbl_txn_price">Assumptions!$C$153</definedName>
    <definedName name="tbl_txn">Assumptions!$C$154</definedName>
    <definedName name="host_mode">Assumptions!$C$155</definedName>
    <definedName name="host_switch_n">Assumptions!$C$156</definedName>
    <definedName name="nf_site">Assumptions!$C$159</definedName>
    <definedName name="nf_plan">Assumptions!$C$160</definedName>
    <definedName name="nf_incl">Assumptions!$C$161</definedName>
    <definedName name="nf_credit">Assumptions!$C$162</definedName>
    <definedName name="nf_credits">Assumptions!$C$163</definedName>
    <definedName name="gh_seat">Assumptions!$C$164</definedName>
    <definedName name="gh_seats">Assumptions!$C$165</definedName>
    <definedName name="pl_twilio">Assumptions!$C$168</definedName>
    <definedName name="pl_numbers">Assumptions!$C$169</definedName>
    <definedName name="comp_cogs">Assumptions!$C$172</definedName>
  </definedNames>
  <calcPr calcId="124519" fullCalcOnLoad="1"/>
</workbook>
</file>

<file path=xl/styles.xml><?xml version="1.0" encoding="utf-8"?>
<styleSheet xmlns="http://schemas.openxmlformats.org/spreadsheetml/2006/main">
  <numFmts count="5">
    <numFmt numFmtId="164" formatCode="0.0%"/>
    <numFmt numFmtId="165" formatCode="$#,##0.00"/>
    <numFmt numFmtId="166" formatCode="$0.0000"/>
    <numFmt numFmtId="167" formatCode="$0.000000"/>
    <numFmt numFmtId="168" formatCode="$#,##0"/>
  </numFmts>
  <fonts count="15">
    <font>
      <name val="Calibri"/>
      <family val="2"/>
      <color theme="1"/>
      <sz val="11"/>
      <scheme val="minor"/>
    </font>
    <font>
      <name val="Calibri"/>
      <b val="1"/>
      <color rgb="00B9FF00"/>
      <sz val="14"/>
    </font>
    <font>
      <name val="Calibri"/>
      <color rgb="00C9C9D4"/>
      <sz val="9"/>
    </font>
    <font>
      <name val="Calibri"/>
      <b val="1"/>
      <color rgb="008051FF"/>
      <sz val="10"/>
    </font>
    <font>
      <name val="Calibri"/>
      <b val="1"/>
      <color rgb="000B0B10"/>
      <sz val="10"/>
    </font>
    <font>
      <name val="Calibri"/>
      <color rgb="006B6B76"/>
      <sz val="8"/>
    </font>
    <font>
      <name val="Calibri"/>
      <sz val="10"/>
    </font>
    <font>
      <name val="Calibri"/>
      <color rgb="000000FF"/>
      <sz val="10"/>
    </font>
    <font>
      <name val="Calibri"/>
      <color rgb="006B6B76"/>
      <sz val="10"/>
    </font>
    <font>
      <name val="Calibri"/>
      <sz val="9"/>
    </font>
    <font>
      <name val="Calibri"/>
      <color rgb="006B6B76"/>
      <sz val="9"/>
    </font>
    <font>
      <name val="Calibri"/>
      <b val="1"/>
      <color rgb="00B00020"/>
      <sz val="10"/>
    </font>
    <font>
      <name val="Calibri"/>
      <i val="1"/>
      <color rgb="006B6B76"/>
      <sz val="9"/>
    </font>
    <font>
      <name val="Calibri"/>
      <b val="1"/>
      <sz val="10"/>
    </font>
    <font>
      <name val="Calibri"/>
      <b val="1"/>
      <color rgb="00B9FF00"/>
      <sz val="10"/>
    </font>
  </fonts>
  <fills count="4">
    <fill>
      <patternFill/>
    </fill>
    <fill>
      <patternFill patternType="gray125"/>
    </fill>
    <fill>
      <patternFill patternType="solid">
        <fgColor rgb="000B0B10"/>
      </patternFill>
    </fill>
    <fill>
      <patternFill patternType="solid">
        <fgColor rgb="00EEE8FF"/>
      </patternFill>
    </fill>
  </fills>
  <borders count="1">
    <border>
      <left/>
      <right/>
      <top/>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top"/>
    </xf>
    <xf numFmtId="0" fontId="0" fillId="2" borderId="0" pivotButton="0" quotePrefix="0" xfId="0"/>
    <xf numFmtId="0" fontId="2" fillId="2" borderId="0" applyAlignment="1" pivotButton="0" quotePrefix="0" xfId="0">
      <alignment vertical="top"/>
    </xf>
    <xf numFmtId="0" fontId="3" fillId="2" borderId="0" applyAlignment="1" pivotButton="0" quotePrefix="0" xfId="0">
      <alignment vertical="top" wrapText="1"/>
    </xf>
    <xf numFmtId="0" fontId="4" fillId="3" borderId="0" applyAlignment="1" pivotButton="0" quotePrefix="0" xfId="0">
      <alignment vertical="top"/>
    </xf>
    <xf numFmtId="0" fontId="0" fillId="3" borderId="0" pivotButton="0" quotePrefix="0" xfId="0"/>
    <xf numFmtId="0" fontId="5" fillId="0" borderId="0" applyAlignment="1" pivotButton="0" quotePrefix="0" xfId="0">
      <alignment vertical="top"/>
    </xf>
    <xf numFmtId="0" fontId="6" fillId="0" borderId="0" applyAlignment="1" pivotButton="0" quotePrefix="0" xfId="0">
      <alignment vertical="top" wrapText="1"/>
    </xf>
    <xf numFmtId="3" fontId="7" fillId="0" borderId="0" applyAlignment="1" pivotButton="0" quotePrefix="0" xfId="0">
      <alignment vertical="top"/>
    </xf>
    <xf numFmtId="0" fontId="8" fillId="0" borderId="0" applyAlignment="1" pivotButton="0" quotePrefix="0" xfId="0">
      <alignment vertical="top"/>
    </xf>
    <xf numFmtId="0" fontId="9" fillId="0" borderId="0" applyAlignment="1" pivotButton="0" quotePrefix="0" xfId="0">
      <alignment vertical="top" wrapText="1"/>
    </xf>
    <xf numFmtId="0" fontId="6" fillId="0" borderId="0" applyAlignment="1" pivotButton="0" quotePrefix="0" xfId="0">
      <alignment vertical="top"/>
    </xf>
    <xf numFmtId="0" fontId="10" fillId="0" borderId="0" applyAlignment="1" pivotButton="0" quotePrefix="0" xfId="0">
      <alignment vertical="top" wrapText="1"/>
    </xf>
    <xf numFmtId="0" fontId="11" fillId="0" borderId="0" applyAlignment="1" pivotButton="0" quotePrefix="0" xfId="0">
      <alignment vertical="top"/>
    </xf>
    <xf numFmtId="3" fontId="6" fillId="0" borderId="0" applyAlignment="1" pivotButton="0" quotePrefix="0" xfId="0">
      <alignment vertical="top"/>
    </xf>
    <xf numFmtId="164" fontId="7" fillId="0" borderId="0" applyAlignment="1" pivotButton="0" quotePrefix="0" xfId="0">
      <alignment vertical="top"/>
    </xf>
    <xf numFmtId="4" fontId="7" fillId="0" borderId="0" applyAlignment="1" pivotButton="0" quotePrefix="0" xfId="0">
      <alignment vertical="top"/>
    </xf>
    <xf numFmtId="165" fontId="7" fillId="0" borderId="0" applyAlignment="1" pivotButton="0" quotePrefix="0" xfId="0">
      <alignment vertical="top"/>
    </xf>
    <xf numFmtId="164" fontId="6" fillId="0" borderId="0" applyAlignment="1" pivotButton="0" quotePrefix="0" xfId="0">
      <alignment vertical="top"/>
    </xf>
    <xf numFmtId="166" fontId="7" fillId="0" borderId="0" applyAlignment="1" pivotButton="0" quotePrefix="0" xfId="0">
      <alignment vertical="top"/>
    </xf>
    <xf numFmtId="165" fontId="6" fillId="0" borderId="0" applyAlignment="1" pivotButton="0" quotePrefix="0" xfId="0">
      <alignment vertical="top"/>
    </xf>
    <xf numFmtId="167" fontId="7" fillId="0" borderId="0" applyAlignment="1" pivotButton="0" quotePrefix="0" xfId="0">
      <alignment vertical="top"/>
    </xf>
    <xf numFmtId="0" fontId="12" fillId="0" borderId="0" applyAlignment="1" pivotButton="0" quotePrefix="0" xfId="0">
      <alignment vertical="top"/>
    </xf>
    <xf numFmtId="49" fontId="6" fillId="0" borderId="0" applyAlignment="1" pivotButton="0" quotePrefix="0" xfId="0">
      <alignment vertical="top"/>
    </xf>
    <xf numFmtId="4" fontId="6" fillId="0" borderId="0" applyAlignment="1" pivotButton="0" quotePrefix="0" xfId="0">
      <alignment vertical="top"/>
    </xf>
    <xf numFmtId="4" fontId="13" fillId="0" borderId="0" applyAlignment="1" pivotButton="0" quotePrefix="0" xfId="0">
      <alignment vertical="top"/>
    </xf>
    <xf numFmtId="0" fontId="10" fillId="0" borderId="0" applyAlignment="1" pivotButton="0" quotePrefix="0" xfId="0">
      <alignment vertical="top"/>
    </xf>
    <xf numFmtId="0" fontId="13" fillId="0" borderId="0" applyAlignment="1" pivotButton="0" quotePrefix="0" xfId="0">
      <alignment vertical="top"/>
    </xf>
    <xf numFmtId="165" fontId="14" fillId="2" borderId="0" applyAlignment="1" pivotButton="0" quotePrefix="0" xfId="0">
      <alignment vertical="top"/>
    </xf>
    <xf numFmtId="166" fontId="6" fillId="0" borderId="0" applyAlignment="1" pivotButton="0" quotePrefix="0" xfId="0">
      <alignment vertical="top"/>
    </xf>
    <xf numFmtId="164" fontId="14" fillId="2" borderId="0" applyAlignment="1" pivotButton="0" quotePrefix="0" xfId="0">
      <alignment vertical="top"/>
    </xf>
    <xf numFmtId="4" fontId="14" fillId="2" borderId="0" applyAlignment="1" pivotButton="0" quotePrefix="0" xfId="0">
      <alignment vertical="top"/>
    </xf>
    <xf numFmtId="168" fontId="14" fillId="2" borderId="0" applyAlignment="1" pivotButton="0" quotePrefix="0" xfId="0">
      <alignment vertical="top"/>
    </xf>
    <xf numFmtId="165" fontId="13" fillId="0" borderId="0" applyAlignment="1" pivotButton="0" quotePrefix="0" xfId="0">
      <alignment vertical="top"/>
    </xf>
    <xf numFmtId="166" fontId="13" fillId="0" borderId="0" applyAlignment="1" pivotButton="0" quotePrefix="0" xfId="0">
      <alignment vertical="top"/>
    </xf>
    <xf numFmtId="3" fontId="13" fillId="0" borderId="0" applyAlignment="1" pivotButton="0" quotePrefix="0" xfId="0">
      <alignment vertical="top"/>
    </xf>
    <xf numFmtId="168" fontId="6" fillId="0" borderId="0" applyAlignment="1" pivotButton="0" quotePrefix="0" xfId="0">
      <alignment vertical="top"/>
    </xf>
    <xf numFmtId="168" fontId="13" fillId="0" borderId="0" applyAlignment="1" pivotButton="0" quotePrefix="0" xfId="0">
      <alignment vertical="top"/>
    </xf>
    <xf numFmtId="168"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51FF"/>
    <outlinePr summaryBelow="1" summaryRight="1"/>
    <pageSetUpPr/>
  </sheetPr>
  <dimension ref="A1:G17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52" customWidth="1" min="2" max="2"/>
    <col width="14" customWidth="1" min="3" max="3"/>
    <col width="22" customWidth="1" min="4" max="4"/>
    <col width="58" customWidth="1" min="5" max="5"/>
    <col width="14" customWidth="1" min="6" max="6"/>
    <col width="70" customWidth="1" min="7" max="7"/>
  </cols>
  <sheetData>
    <row r="1" ht="22" customHeight="1">
      <c r="A1" s="1" t="inlineStr">
        <is>
          <t>HaulOS pricing model: assumptions</t>
        </is>
      </c>
      <c r="B1" s="2" t="n"/>
      <c r="C1" s="2" t="n"/>
      <c r="D1" s="2" t="n"/>
      <c r="E1" s="2" t="n"/>
      <c r="F1" s="2" t="n"/>
      <c r="G1" s="2" t="n"/>
    </row>
    <row r="2">
      <c r="A2" s="3" t="inlineStr">
        <is>
          <t>Blue is an input. Black is a formula. Every input carries a source and a confidence. ASSUMPTION means nobody has measured it.</t>
        </is>
      </c>
      <c r="B2" s="2" t="n"/>
      <c r="C2" s="2" t="n"/>
      <c r="D2" s="2" t="n"/>
      <c r="E2" s="2" t="n"/>
      <c r="F2" s="2" t="n"/>
      <c r="G2" s="2" t="n"/>
    </row>
    <row r="4" ht="30" customHeight="1">
      <c r="A4" s="4" t="inlineStr">
        <is>
          <t>Key</t>
        </is>
      </c>
      <c r="B4" s="4" t="inlineStr">
        <is>
          <t>Input</t>
        </is>
      </c>
      <c r="C4" s="4" t="inlineStr">
        <is>
          <t>Value</t>
        </is>
      </c>
      <c r="D4" s="4" t="inlineStr">
        <is>
          <t>Unit</t>
        </is>
      </c>
      <c r="E4" s="4" t="inlineStr">
        <is>
          <t>Source</t>
        </is>
      </c>
      <c r="F4" s="4" t="inlineStr">
        <is>
          <t>Confidence</t>
        </is>
      </c>
      <c r="G4" s="4" t="inlineStr">
        <is>
          <t>Note</t>
        </is>
      </c>
    </row>
    <row r="5">
      <c r="A5" s="5" t="inlineStr">
        <is>
          <t>Market</t>
        </is>
      </c>
      <c r="B5" s="6" t="n"/>
      <c r="C5" s="6" t="n"/>
      <c r="D5" s="6" t="n"/>
      <c r="E5" s="6" t="n"/>
      <c r="F5" s="6" t="n"/>
      <c r="G5" s="6" t="n"/>
    </row>
    <row r="6">
      <c r="A6" s="7" t="inlineStr">
        <is>
          <t>mkt_brokers</t>
        </is>
      </c>
      <c r="B6" s="8" t="inlineStr">
        <is>
          <t>Active household-goods broker authorities</t>
        </is>
      </c>
      <c r="C6" s="9" t="n">
        <v>901</v>
      </c>
      <c r="D6" s="10" t="inlineStr">
        <is>
          <t>firms</t>
        </is>
      </c>
      <c r="E6" s="11" t="inlineStr">
        <is>
          <t>FMCSA dataset 6eyk-hxee on data.transportation.gov, counted 2026-10-04: broker_stat='A' AND hhg_chk='Y'</t>
        </is>
      </c>
      <c r="F6" s="12" t="inlineStr">
        <is>
          <t>Med</t>
        </is>
      </c>
      <c r="G6" s="13" t="inlineStr">
        <is>
          <t>The count is exact. What the household-goods flag means is not fully confirmed.</t>
        </is>
      </c>
    </row>
    <row r="7">
      <c r="A7" s="7" t="inlineStr">
        <is>
          <t>mkt_brokers_high</t>
        </is>
      </c>
      <c r="B7" s="8" t="inlineStr">
        <is>
          <t>Broker count, high case</t>
        </is>
      </c>
      <c r="C7" s="9" t="n">
        <v>1256</v>
      </c>
      <c r="D7" s="10" t="inlineStr">
        <is>
          <t>firms</t>
        </is>
      </c>
      <c r="E7" s="11" t="inlineStr">
        <is>
          <t>FMCSA 2024 notice, as given in the brief; not re-read</t>
        </is>
      </c>
      <c r="F7" s="12" t="inlineStr">
        <is>
          <t>Med</t>
        </is>
      </c>
      <c r="G7" s="13" t="inlineStr"/>
    </row>
    <row r="8">
      <c r="A8" s="7" t="inlineStr">
        <is>
          <t>mkt_carriers</t>
        </is>
      </c>
      <c r="B8" s="8" t="inlineStr">
        <is>
          <t>Household-goods carriers</t>
        </is>
      </c>
      <c r="C8" s="9" t="n">
        <v>4000</v>
      </c>
      <c r="D8" s="10" t="inlineStr">
        <is>
          <t>firms</t>
        </is>
      </c>
      <c r="E8" s="11" t="inlineStr">
        <is>
          <t>Figure given in the brief ("roughly 4,000", older)</t>
        </is>
      </c>
      <c r="F8" s="12" t="inlineStr">
        <is>
          <t>Low</t>
        </is>
      </c>
      <c r="G8" s="13" t="inlineStr">
        <is>
          <t>The dataset counts 8,596 active carrier authorities with the flag: see the next row.</t>
        </is>
      </c>
    </row>
    <row r="9">
      <c r="A9" s="7" t="inlineStr">
        <is>
          <t>mkt_carriers_ds</t>
        </is>
      </c>
      <c r="B9" s="8" t="inlineStr">
        <is>
          <t>Carrier count, dataset upper bound</t>
        </is>
      </c>
      <c r="C9" s="9" t="n">
        <v>8596</v>
      </c>
      <c r="D9" s="10" t="inlineStr">
        <is>
          <t>firms</t>
        </is>
      </c>
      <c r="E9" s="11" t="inlineStr">
        <is>
          <t>FMCSA dataset 6eyk-hxee on data.transportation.gov, counted 2026-10-04: hhg_chk='Y' AND (common_stat='A' OR contract_stat='A')</t>
        </is>
      </c>
      <c r="F9" s="12" t="inlineStr">
        <is>
          <t>Low</t>
        </is>
      </c>
      <c r="G9" s="13" t="inlineStr">
        <is>
          <t>An authority that covers household goods, not proof the firm moves households.</t>
        </is>
      </c>
    </row>
    <row r="10">
      <c r="A10" s="7" t="inlineStr">
        <is>
          <t>mkt_overlap</t>
        </is>
      </c>
      <c r="B10" s="8" t="inlineStr">
        <is>
          <t>Firms that are both broker and carrier</t>
        </is>
      </c>
      <c r="C10" s="9" t="n">
        <v>237</v>
      </c>
      <c r="D10" s="10" t="inlineStr">
        <is>
          <t>firms</t>
        </is>
      </c>
      <c r="E10" s="11" t="inlineStr">
        <is>
          <t>FMCSA dataset 6eyk-hxee on data.transportation.gov, counted 2026-10-04</t>
        </is>
      </c>
      <c r="F10" s="12" t="inlineStr">
        <is>
          <t>Med</t>
        </is>
      </c>
      <c r="G10" s="13" t="inlineStr"/>
    </row>
    <row r="11">
      <c r="A11" s="7" t="inlineStr">
        <is>
          <t>mkt_case</t>
        </is>
      </c>
      <c r="B11" s="8" t="inlineStr">
        <is>
          <t>Market case: 1 brokers, 2 brokers high, 3 brokers + carriers, 4 brokers + carriers (dataset)</t>
        </is>
      </c>
      <c r="C11" s="9" t="n">
        <v>1</v>
      </c>
      <c r="D11" s="10" t="inlineStr">
        <is>
          <t>switch</t>
        </is>
      </c>
      <c r="E11" s="11" t="inlineStr">
        <is>
          <t>Choice</t>
        </is>
      </c>
      <c r="F11" s="14" t="inlineStr">
        <is>
          <t>ASSUMPTION</t>
        </is>
      </c>
      <c r="G11" s="13" t="inlineStr"/>
    </row>
    <row r="12">
      <c r="A12" s="7" t="inlineStr">
        <is>
          <t>addressable</t>
        </is>
      </c>
      <c r="B12" s="8" t="inlineStr">
        <is>
          <t>Addressable firms, selected case</t>
        </is>
      </c>
      <c r="C12" s="15">
        <f>CHOOSE($C$11,$C$6,$C$7,$C$6+$C$8-$C$10,$C$6+$C$9-$C$10)</f>
        <v/>
      </c>
      <c r="D12" s="10" t="inlineStr">
        <is>
          <t>firms</t>
        </is>
      </c>
      <c r="E12" s="11" t="inlineStr">
        <is>
          <t>Formula</t>
        </is>
      </c>
      <c r="F12" s="12" t="inlineStr"/>
      <c r="G12" s="13" t="inlineStr"/>
    </row>
    <row r="13">
      <c r="A13" s="7" t="inlineStr">
        <is>
          <t>pen_low</t>
        </is>
      </c>
      <c r="B13" s="8" t="inlineStr">
        <is>
          <t>Share of addressable firms at month 24, low</t>
        </is>
      </c>
      <c r="C13" s="16" t="n">
        <v>0.02</v>
      </c>
      <c r="D13" s="10" t="inlineStr">
        <is>
          <t>%</t>
        </is>
      </c>
      <c r="E13" s="11" t="inlineStr">
        <is>
          <t>Starting hypothesis in the brief</t>
        </is>
      </c>
      <c r="F13" s="14" t="inlineStr">
        <is>
          <t>ASSUMPTION</t>
        </is>
      </c>
      <c r="G13" s="13" t="inlineStr"/>
    </row>
    <row r="14">
      <c r="A14" s="7" t="inlineStr">
        <is>
          <t>pen_base</t>
        </is>
      </c>
      <c r="B14" s="8" t="inlineStr">
        <is>
          <t>Share of addressable firms at month 24, base</t>
        </is>
      </c>
      <c r="C14" s="16" t="n">
        <v>0.05</v>
      </c>
      <c r="D14" s="10" t="inlineStr">
        <is>
          <t>%</t>
        </is>
      </c>
      <c r="E14" s="11" t="inlineStr">
        <is>
          <t>Starting hypothesis in the brief</t>
        </is>
      </c>
      <c r="F14" s="14" t="inlineStr">
        <is>
          <t>ASSUMPTION</t>
        </is>
      </c>
      <c r="G14" s="13" t="inlineStr"/>
    </row>
    <row r="15">
      <c r="A15" s="7" t="inlineStr">
        <is>
          <t>pen_high</t>
        </is>
      </c>
      <c r="B15" s="8" t="inlineStr">
        <is>
          <t>Share of addressable firms at month 24, high</t>
        </is>
      </c>
      <c r="C15" s="16" t="n">
        <v>0.1</v>
      </c>
      <c r="D15" s="10" t="inlineStr">
        <is>
          <t>%</t>
        </is>
      </c>
      <c r="E15" s="11" t="inlineStr">
        <is>
          <t>Starting hypothesis in the brief</t>
        </is>
      </c>
      <c r="F15" s="14" t="inlineStr">
        <is>
          <t>ASSUMPTION</t>
        </is>
      </c>
      <c r="G15" s="13" t="inlineStr"/>
    </row>
    <row r="16">
      <c r="A16" s="7" t="inlineStr">
        <is>
          <t>ramp_exp</t>
        </is>
      </c>
      <c r="B16" s="8" t="inlineStr">
        <is>
          <t>Ramp shape</t>
        </is>
      </c>
      <c r="C16" s="17" t="n">
        <v>1.5</v>
      </c>
      <c r="D16" s="10" t="inlineStr">
        <is>
          <t>exponent</t>
        </is>
      </c>
      <c r="E16" s="11" t="inlineStr">
        <is>
          <t>Nothing measured</t>
        </is>
      </c>
      <c r="F16" s="14" t="inlineStr">
        <is>
          <t>ASSUMPTION</t>
        </is>
      </c>
      <c r="G16" s="13" t="inlineStr">
        <is>
          <t>1 is a straight line to month 24. Higher starts slower.</t>
        </is>
      </c>
    </row>
    <row r="17">
      <c r="A17" s="7" t="inlineStr">
        <is>
          <t>start_tenants</t>
        </is>
      </c>
      <c r="B17" s="8" t="inlineStr">
        <is>
          <t>Tenants today</t>
        </is>
      </c>
      <c r="C17" s="9" t="n">
        <v>1</v>
      </c>
      <c r="D17" s="10" t="inlineStr">
        <is>
          <t>tenants</t>
        </is>
      </c>
      <c r="E17" s="11" t="inlineStr">
        <is>
          <t>The first client is live</t>
        </is>
      </c>
      <c r="F17" s="12" t="inlineStr">
        <is>
          <t>High</t>
        </is>
      </c>
      <c r="G17" s="13" t="inlineStr"/>
    </row>
    <row r="18">
      <c r="A18" s="7" t="inlineStr">
        <is>
          <t>churn_m</t>
        </is>
      </c>
      <c r="B18" s="8" t="inlineStr">
        <is>
          <t>Tenants lost per month</t>
        </is>
      </c>
      <c r="C18" s="16" t="n">
        <v>0.015</v>
      </c>
      <c r="D18" s="10" t="inlineStr">
        <is>
          <t>%</t>
        </is>
      </c>
      <c r="E18" s="11" t="inlineStr">
        <is>
          <t>Nothing measured</t>
        </is>
      </c>
      <c r="F18" s="14" t="inlineStr">
        <is>
          <t>ASSUMPTION</t>
        </is>
      </c>
      <c r="G18" s="13" t="inlineStr">
        <is>
          <t>Only changes how many new tenants are needed, and so the one-time fees.</t>
        </is>
      </c>
    </row>
    <row r="20">
      <c r="A20" s="5" t="inlineStr">
        <is>
          <t>Prices</t>
        </is>
      </c>
      <c r="B20" s="6" t="n"/>
      <c r="C20" s="6" t="n"/>
      <c r="D20" s="6" t="n"/>
      <c r="E20" s="6" t="n"/>
      <c r="F20" s="6" t="n"/>
      <c r="G20" s="6" t="n"/>
    </row>
    <row r="21">
      <c r="A21" s="7" t="inlineStr">
        <is>
          <t>p_platform</t>
        </is>
      </c>
      <c r="B21" s="8" t="inlineStr">
        <is>
          <t>Platform fee</t>
        </is>
      </c>
      <c r="C21" s="18" t="n">
        <v>349</v>
      </c>
      <c r="D21" s="10" t="inlineStr">
        <is>
          <t>$ / tenant / month</t>
        </is>
      </c>
      <c r="E21" s="11" t="inlineStr">
        <is>
          <t>Starting hypothesis in the brief (test $299 to $499)</t>
        </is>
      </c>
      <c r="F21" s="14" t="inlineStr">
        <is>
          <t>ASSUMPTION</t>
        </is>
      </c>
      <c r="G21" s="13" t="inlineStr"/>
    </row>
    <row r="22">
      <c r="A22" s="7" t="inlineStr">
        <is>
          <t>p_dialer</t>
        </is>
      </c>
      <c r="B22" s="8" t="inlineStr">
        <is>
          <t>Dialer add-on</t>
        </is>
      </c>
      <c r="C22" s="18" t="n">
        <v>79</v>
      </c>
      <c r="D22" s="10" t="inlineStr">
        <is>
          <t>$ / seat / month</t>
        </is>
      </c>
      <c r="E22" s="11" t="inlineStr">
        <is>
          <t>Starting hypothesis in the brief</t>
        </is>
      </c>
      <c r="F22" s="14" t="inlineStr">
        <is>
          <t>ASSUMPTION</t>
        </is>
      </c>
      <c r="G22" s="13" t="inlineStr"/>
    </row>
    <row r="23">
      <c r="A23" s="7" t="inlineStr">
        <is>
          <t>incl_min</t>
        </is>
      </c>
      <c r="B23" s="8" t="inlineStr">
        <is>
          <t>Minutes included with a dialer seat</t>
        </is>
      </c>
      <c r="C23" s="9" t="n">
        <v>1200</v>
      </c>
      <c r="D23" s="10" t="inlineStr">
        <is>
          <t>minutes / seat / month</t>
        </is>
      </c>
      <c r="E23" s="11" t="inlineStr">
        <is>
          <t>Starting hypothesis in the brief</t>
        </is>
      </c>
      <c r="F23" s="14" t="inlineStr">
        <is>
          <t>ASSUMPTION</t>
        </is>
      </c>
      <c r="G23" s="13" t="inlineStr">
        <is>
          <t>Counted as phone minutes, outbound plus inbound.</t>
        </is>
      </c>
    </row>
    <row r="24">
      <c r="A24" s="7" t="inlineStr">
        <is>
          <t>over_mult</t>
        </is>
      </c>
      <c r="B24" s="8" t="inlineStr">
        <is>
          <t>Overage price as a multiple of cost</t>
        </is>
      </c>
      <c r="C24" s="17" t="n">
        <v>2.5</v>
      </c>
      <c r="D24" s="10" t="inlineStr">
        <is>
          <t>x</t>
        </is>
      </c>
      <c r="E24" s="11" t="inlineStr">
        <is>
          <t>Starting hypothesis in the brief</t>
        </is>
      </c>
      <c r="F24" s="14" t="inlineStr">
        <is>
          <t>ASSUMPTION</t>
        </is>
      </c>
      <c r="G24" s="13" t="inlineStr"/>
    </row>
    <row r="25">
      <c r="A25" s="7" t="inlineStr">
        <is>
          <t>bill_over</t>
        </is>
      </c>
      <c r="B25" s="8" t="inlineStr">
        <is>
          <t>Overage is charged: 1 yes, 0 no</t>
        </is>
      </c>
      <c r="C25" s="9" t="n">
        <v>1</v>
      </c>
      <c r="D25" s="10" t="inlineStr">
        <is>
          <t>switch</t>
        </is>
      </c>
      <c r="E25" s="11" t="inlineStr">
        <is>
          <t>Choice</t>
        </is>
      </c>
      <c r="F25" s="14" t="inlineStr">
        <is>
          <t>ASSUMPTION</t>
        </is>
      </c>
      <c r="G25" s="13" t="inlineStr"/>
    </row>
    <row r="26">
      <c r="A26" s="7" t="inlineStr">
        <is>
          <t>p_sms</t>
        </is>
      </c>
      <c r="B26" s="8" t="inlineStr">
        <is>
          <t>SMS add-on</t>
        </is>
      </c>
      <c r="C26" s="18" t="n">
        <v>49</v>
      </c>
      <c r="D26" s="10" t="inlineStr">
        <is>
          <t>$ / tenant / month</t>
        </is>
      </c>
      <c r="E26" s="11" t="inlineStr">
        <is>
          <t>Starting hypothesis in the brief</t>
        </is>
      </c>
      <c r="F26" s="14" t="inlineStr">
        <is>
          <t>ASSUMPTION</t>
        </is>
      </c>
      <c r="G26" s="13" t="inlineStr"/>
    </row>
    <row r="27">
      <c r="A27" s="7" t="inlineStr">
        <is>
          <t>incl_seg</t>
        </is>
      </c>
      <c r="B27" s="8" t="inlineStr">
        <is>
          <t>Segments included with the SMS add-on</t>
        </is>
      </c>
      <c r="C27" s="9" t="n">
        <v>1000</v>
      </c>
      <c r="D27" s="10" t="inlineStr">
        <is>
          <t>segments / month</t>
        </is>
      </c>
      <c r="E27" s="11" t="inlineStr">
        <is>
          <t>Starting hypothesis in the brief</t>
        </is>
      </c>
      <c r="F27" s="14" t="inlineStr">
        <is>
          <t>ASSUMPTION</t>
        </is>
      </c>
      <c r="G27" s="13" t="inlineStr">
        <is>
          <t>Outbound segments.</t>
        </is>
      </c>
    </row>
    <row r="28">
      <c r="A28" s="7" t="inlineStr">
        <is>
          <t>sms_setup</t>
        </is>
      </c>
      <c r="B28" s="8" t="inlineStr">
        <is>
          <t>SMS setup fee</t>
        </is>
      </c>
      <c r="C28" s="18" t="n">
        <v>399</v>
      </c>
      <c r="D28" s="10" t="inlineStr">
        <is>
          <t>$ one-time</t>
        </is>
      </c>
      <c r="E28" s="11" t="inlineStr">
        <is>
          <t>Starting hypothesis in the brief</t>
        </is>
      </c>
      <c r="F28" s="14" t="inlineStr">
        <is>
          <t>ASSUMPTION</t>
        </is>
      </c>
      <c r="G28" s="13" t="inlineStr"/>
    </row>
    <row r="29">
      <c r="A29" s="7" t="inlineStr">
        <is>
          <t>p_comp</t>
        </is>
      </c>
      <c r="B29" s="8" t="inlineStr">
        <is>
          <t>Compliance module</t>
        </is>
      </c>
      <c r="C29" s="18" t="n">
        <v>79</v>
      </c>
      <c r="D29" s="10" t="inlineStr">
        <is>
          <t>$ / tenant / month</t>
        </is>
      </c>
      <c r="E29" s="11" t="inlineStr">
        <is>
          <t>Starting hypothesis in the brief</t>
        </is>
      </c>
      <c r="F29" s="14" t="inlineStr">
        <is>
          <t>ASSUMPTION</t>
        </is>
      </c>
      <c r="G29" s="13" t="inlineStr"/>
    </row>
    <row r="30">
      <c r="A30" s="7" t="inlineStr">
        <is>
          <t>p_ai</t>
        </is>
      </c>
      <c r="B30" s="8" t="inlineStr">
        <is>
          <t>AI SMS add-on</t>
        </is>
      </c>
      <c r="C30" s="18" t="n">
        <v>249</v>
      </c>
      <c r="D30" s="10" t="inlineStr">
        <is>
          <t>$ / tenant / month</t>
        </is>
      </c>
      <c r="E30" s="11" t="inlineStr">
        <is>
          <t>Starting hypothesis in the brief (a test price)</t>
        </is>
      </c>
      <c r="F30" s="14" t="inlineStr">
        <is>
          <t>ASSUMPTION</t>
        </is>
      </c>
      <c r="G30" s="13" t="inlineStr"/>
    </row>
    <row r="31">
      <c r="A31" s="7" t="inlineStr">
        <is>
          <t>p_onboard</t>
        </is>
      </c>
      <c r="B31" s="8" t="inlineStr">
        <is>
          <t>Platform setup fee</t>
        </is>
      </c>
      <c r="C31" s="18" t="n">
        <v>0</v>
      </c>
      <c r="D31" s="10" t="inlineStr">
        <is>
          <t>$ one-time</t>
        </is>
      </c>
      <c r="E31" s="11" t="inlineStr">
        <is>
          <t>Not in the brief</t>
        </is>
      </c>
      <c r="F31" s="14" t="inlineStr">
        <is>
          <t>ASSUMPTION</t>
        </is>
      </c>
      <c r="G31" s="13" t="inlineStr">
        <is>
          <t>Set above zero to model a setup fee.</t>
        </is>
      </c>
    </row>
    <row r="32">
      <c r="A32" s="7" t="inlineStr">
        <is>
          <t>bundle_disc</t>
        </is>
      </c>
      <c r="B32" s="8" t="inlineStr">
        <is>
          <t>Discount on a bundle</t>
        </is>
      </c>
      <c r="C32" s="16" t="n">
        <v>0</v>
      </c>
      <c r="D32" s="10" t="inlineStr">
        <is>
          <t>%</t>
        </is>
      </c>
      <c r="E32" s="11" t="inlineStr">
        <is>
          <t>Not in the brief</t>
        </is>
      </c>
      <c r="F32" s="14" t="inlineStr">
        <is>
          <t>ASSUMPTION</t>
        </is>
      </c>
      <c r="G32" s="13" t="inlineStr"/>
    </row>
    <row r="33">
      <c r="A33" s="7" t="inlineStr">
        <is>
          <t>att_dialer</t>
        </is>
      </c>
      <c r="B33" s="8" t="inlineStr">
        <is>
          <t>Tenants that take the dialer</t>
        </is>
      </c>
      <c r="C33" s="16" t="n">
        <v>0.6</v>
      </c>
      <c r="D33" s="10" t="inlineStr">
        <is>
          <t>%</t>
        </is>
      </c>
      <c r="E33" s="11" t="inlineStr">
        <is>
          <t>Starting hypothesis in the brief</t>
        </is>
      </c>
      <c r="F33" s="14" t="inlineStr">
        <is>
          <t>ASSUMPTION</t>
        </is>
      </c>
      <c r="G33" s="13" t="inlineStr"/>
    </row>
    <row r="34">
      <c r="A34" s="7" t="inlineStr">
        <is>
          <t>att_sms</t>
        </is>
      </c>
      <c r="B34" s="8" t="inlineStr">
        <is>
          <t>Tenants that take SMS</t>
        </is>
      </c>
      <c r="C34" s="16" t="n">
        <v>0.5</v>
      </c>
      <c r="D34" s="10" t="inlineStr">
        <is>
          <t>%</t>
        </is>
      </c>
      <c r="E34" s="11" t="inlineStr">
        <is>
          <t>Starting hypothesis in the brief</t>
        </is>
      </c>
      <c r="F34" s="14" t="inlineStr">
        <is>
          <t>ASSUMPTION</t>
        </is>
      </c>
      <c r="G34" s="13" t="inlineStr"/>
    </row>
    <row r="35">
      <c r="A35" s="7" t="inlineStr">
        <is>
          <t>att_comp</t>
        </is>
      </c>
      <c r="B35" s="8" t="inlineStr">
        <is>
          <t>Tenants that take compliance</t>
        </is>
      </c>
      <c r="C35" s="16" t="n">
        <v>0.4</v>
      </c>
      <c r="D35" s="10" t="inlineStr">
        <is>
          <t>%</t>
        </is>
      </c>
      <c r="E35" s="11" t="inlineStr">
        <is>
          <t>Starting hypothesis in the brief</t>
        </is>
      </c>
      <c r="F35" s="14" t="inlineStr">
        <is>
          <t>ASSUMPTION</t>
        </is>
      </c>
      <c r="G35" s="13" t="inlineStr"/>
    </row>
    <row r="36">
      <c r="A36" s="7" t="inlineStr">
        <is>
          <t>att_ai</t>
        </is>
      </c>
      <c r="B36" s="8" t="inlineStr">
        <is>
          <t>Tenants that take AI SMS</t>
        </is>
      </c>
      <c r="C36" s="16" t="n">
        <v>0.2</v>
      </c>
      <c r="D36" s="10" t="inlineStr">
        <is>
          <t>%</t>
        </is>
      </c>
      <c r="E36" s="11" t="inlineStr">
        <is>
          <t>Starting hypothesis in the brief</t>
        </is>
      </c>
      <c r="F36" s="14" t="inlineStr">
        <is>
          <t>ASSUMPTION</t>
        </is>
      </c>
      <c r="G36" s="13" t="inlineStr"/>
    </row>
    <row r="37">
      <c r="A37" s="7" t="inlineStr">
        <is>
          <t>zoho_margin</t>
        </is>
      </c>
      <c r="B37" s="8" t="inlineStr">
        <is>
          <t>Kore margin on Zoho licenses</t>
        </is>
      </c>
      <c r="C37" s="16" t="n">
        <v>0</v>
      </c>
      <c r="D37" s="10" t="inlineStr">
        <is>
          <t>%</t>
        </is>
      </c>
      <c r="E37" s="11" t="inlineStr">
        <is>
          <t>Partner application in progress. Zoho publishes no reseller margin</t>
        </is>
      </c>
      <c r="F37" s="14" t="inlineStr">
        <is>
          <t>ASSUMPTION</t>
        </is>
      </c>
      <c r="G37" s="13" t="inlineStr">
        <is>
          <t>One third-party page says 15% to 25% (Low confidence).</t>
        </is>
      </c>
    </row>
    <row r="38">
      <c r="A38" s="7" t="inlineStr">
        <is>
          <t>target_gm</t>
        </is>
      </c>
      <c r="B38" s="8" t="inlineStr">
        <is>
          <t>Gross-margin target</t>
        </is>
      </c>
      <c r="C38" s="16" t="n">
        <v>0.7</v>
      </c>
      <c r="D38" s="10" t="inlineStr">
        <is>
          <t>%</t>
        </is>
      </c>
      <c r="E38" s="11" t="inlineStr">
        <is>
          <t>Nothing measured</t>
        </is>
      </c>
      <c r="F38" s="14" t="inlineStr">
        <is>
          <t>ASSUMPTION</t>
        </is>
      </c>
      <c r="G38" s="13" t="inlineStr">
        <is>
          <t>Used only for the breakeven lines.</t>
        </is>
      </c>
    </row>
    <row r="40">
      <c r="A40" s="5" t="inlineStr">
        <is>
          <t>Tenant shape</t>
        </is>
      </c>
      <c r="B40" s="6" t="n"/>
      <c r="C40" s="6" t="n"/>
      <c r="D40" s="6" t="n"/>
      <c r="E40" s="6" t="n"/>
      <c r="F40" s="6" t="n"/>
      <c r="G40" s="6" t="n"/>
    </row>
    <row r="41">
      <c r="A41" s="7" t="inlineStr">
        <is>
          <t>seats</t>
        </is>
      </c>
      <c r="B41" s="8" t="inlineStr">
        <is>
          <t>Seats per tenant</t>
        </is>
      </c>
      <c r="C41" s="9" t="n">
        <v>4</v>
      </c>
      <c r="D41" s="10" t="inlineStr">
        <is>
          <t>seats</t>
        </is>
      </c>
      <c r="E41" s="11" t="inlineStr">
        <is>
          <t>Starting hypothesis in the brief</t>
        </is>
      </c>
      <c r="F41" s="14" t="inlineStr">
        <is>
          <t>ASSUMPTION</t>
        </is>
      </c>
      <c r="G41" s="13" t="inlineStr">
        <is>
          <t>The first client has 2 Zoho Voice users (seen 2026-09-30).</t>
        </is>
      </c>
    </row>
    <row r="42">
      <c r="A42" s="7" t="inlineStr">
        <is>
          <t>nums_per_seat</t>
        </is>
      </c>
      <c r="B42" s="8" t="inlineStr">
        <is>
          <t>Phone numbers per seat</t>
        </is>
      </c>
      <c r="C42" s="9" t="n">
        <v>1</v>
      </c>
      <c r="D42" s="10" t="inlineStr">
        <is>
          <t>numbers</t>
        </is>
      </c>
      <c r="E42" s="11" t="inlineStr">
        <is>
          <t>Nothing measured</t>
        </is>
      </c>
      <c r="F42" s="14" t="inlineStr">
        <is>
          <t>ASSUMPTION</t>
        </is>
      </c>
      <c r="G42" s="13" t="inlineStr">
        <is>
          <t>A direct line per rep.</t>
        </is>
      </c>
    </row>
    <row r="43">
      <c r="A43" s="7" t="inlineStr">
        <is>
          <t>nums_shared</t>
        </is>
      </c>
      <c r="B43" s="8" t="inlineStr">
        <is>
          <t>Shared phone numbers per tenant</t>
        </is>
      </c>
      <c r="C43" s="9" t="n">
        <v>1</v>
      </c>
      <c r="D43" s="10" t="inlineStr">
        <is>
          <t>numbers</t>
        </is>
      </c>
      <c r="E43" s="11" t="inlineStr">
        <is>
          <t>Nothing measured</t>
        </is>
      </c>
      <c r="F43" s="14" t="inlineStr">
        <is>
          <t>ASSUMPTION</t>
        </is>
      </c>
      <c r="G43" s="13" t="inlineStr">
        <is>
          <t>The main line.</t>
        </is>
      </c>
    </row>
    <row r="44">
      <c r="A44" s="7" t="inlineStr">
        <is>
          <t>leads_per_seat</t>
        </is>
      </c>
      <c r="B44" s="8" t="inlineStr">
        <is>
          <t>New leads per seat per month</t>
        </is>
      </c>
      <c r="C44" s="9" t="n">
        <v>100</v>
      </c>
      <c r="D44" s="10" t="inlineStr">
        <is>
          <t>leads</t>
        </is>
      </c>
      <c r="E44" s="11" t="inlineStr">
        <is>
          <t>Nothing measured</t>
        </is>
      </c>
      <c r="F44" s="14" t="inlineStr">
        <is>
          <t>ASSUMPTION</t>
        </is>
      </c>
      <c r="G44" s="13" t="inlineStr"/>
    </row>
    <row r="45">
      <c r="A45" s="7" t="inlineStr">
        <is>
          <t>d_leads</t>
        </is>
      </c>
      <c r="B45" s="8" t="inlineStr">
        <is>
          <t>New leads per tenant per month</t>
        </is>
      </c>
      <c r="C45" s="15">
        <f>$C$41*$C$44</f>
        <v/>
      </c>
      <c r="D45" s="10" t="inlineStr">
        <is>
          <t>leads</t>
        </is>
      </c>
      <c r="E45" s="11" t="inlineStr">
        <is>
          <t>Formula</t>
        </is>
      </c>
      <c r="F45" s="12" t="inlineStr"/>
      <c r="G45" s="13" t="inlineStr"/>
    </row>
    <row r="47">
      <c r="A47" s="5" t="inlineStr">
        <is>
          <t>Calling: what a seat does</t>
        </is>
      </c>
      <c r="B47" s="6" t="n"/>
      <c r="C47" s="6" t="n"/>
      <c r="D47" s="6" t="n"/>
      <c r="E47" s="6" t="n"/>
      <c r="F47" s="6" t="n"/>
      <c r="G47" s="6" t="n"/>
    </row>
    <row r="48">
      <c r="A48" s="7" t="inlineStr">
        <is>
          <t>workdays</t>
        </is>
      </c>
      <c r="B48" s="8" t="inlineStr">
        <is>
          <t>Working days a month</t>
        </is>
      </c>
      <c r="C48" s="9" t="n">
        <v>21</v>
      </c>
      <c r="D48" s="10" t="inlineStr">
        <is>
          <t>days</t>
        </is>
      </c>
      <c r="E48" s="11" t="inlineStr">
        <is>
          <t>Nothing measured</t>
        </is>
      </c>
      <c r="F48" s="14" t="inlineStr">
        <is>
          <t>ASSUMPTION</t>
        </is>
      </c>
      <c r="G48" s="13" t="inlineStr"/>
    </row>
    <row r="49">
      <c r="A49" s="7" t="inlineStr">
        <is>
          <t>att_day</t>
        </is>
      </c>
      <c r="B49" s="8" t="inlineStr">
        <is>
          <t>Outbound dial attempts per seat per day</t>
        </is>
      </c>
      <c r="C49" s="9" t="n">
        <v>60</v>
      </c>
      <c r="D49" s="10" t="inlineStr">
        <is>
          <t>attempts</t>
        </is>
      </c>
      <c r="E49" s="11" t="inlineStr">
        <is>
          <t>Nothing measured</t>
        </is>
      </c>
      <c r="F49" s="14" t="inlineStr">
        <is>
          <t>ASSUMPTION</t>
        </is>
      </c>
      <c r="G49" s="13" t="inlineStr">
        <is>
          <t>The biggest unknown in the model.</t>
        </is>
      </c>
    </row>
    <row r="50">
      <c r="A50" s="7" t="inlineStr">
        <is>
          <t>sh_person</t>
        </is>
      </c>
      <c r="B50" s="8" t="inlineStr">
        <is>
          <t>Attempts answered by a person</t>
        </is>
      </c>
      <c r="C50" s="16" t="n">
        <v>0.2</v>
      </c>
      <c r="D50" s="10" t="inlineStr">
        <is>
          <t>%</t>
        </is>
      </c>
      <c r="E50" s="11" t="inlineStr">
        <is>
          <t>Nothing measured</t>
        </is>
      </c>
      <c r="F50" s="14" t="inlineStr">
        <is>
          <t>ASSUMPTION</t>
        </is>
      </c>
      <c r="G50" s="13" t="inlineStr"/>
    </row>
    <row r="51">
      <c r="A51" s="7" t="inlineStr">
        <is>
          <t>sh_vm</t>
        </is>
      </c>
      <c r="B51" s="8" t="inlineStr">
        <is>
          <t>Attempts answered by voicemail</t>
        </is>
      </c>
      <c r="C51" s="16" t="n">
        <v>0.35</v>
      </c>
      <c r="D51" s="10" t="inlineStr">
        <is>
          <t>%</t>
        </is>
      </c>
      <c r="E51" s="11" t="inlineStr">
        <is>
          <t>Nothing measured</t>
        </is>
      </c>
      <c r="F51" s="14" t="inlineStr">
        <is>
          <t>ASSUMPTION</t>
        </is>
      </c>
      <c r="G51" s="13" t="inlineStr"/>
    </row>
    <row r="52">
      <c r="A52" s="7" t="inlineStr">
        <is>
          <t>sh_unans</t>
        </is>
      </c>
      <c r="B52" s="8" t="inlineStr">
        <is>
          <t>Attempts not answered</t>
        </is>
      </c>
      <c r="C52" s="19">
        <f>1-$C$50-$C$51</f>
        <v/>
      </c>
      <c r="D52" s="10" t="inlineStr">
        <is>
          <t>%</t>
        </is>
      </c>
      <c r="E52" s="11" t="inlineStr">
        <is>
          <t>Formula</t>
        </is>
      </c>
      <c r="F52" s="12" t="inlineStr"/>
      <c r="G52" s="13" t="inlineStr"/>
    </row>
    <row r="53">
      <c r="A53" s="7" t="inlineStr">
        <is>
          <t>min_person</t>
        </is>
      </c>
      <c r="B53" s="8" t="inlineStr">
        <is>
          <t>Billed minutes when a person answers</t>
        </is>
      </c>
      <c r="C53" s="17" t="n">
        <v>4</v>
      </c>
      <c r="D53" s="10" t="inlineStr">
        <is>
          <t>minutes</t>
        </is>
      </c>
      <c r="E53" s="11" t="inlineStr">
        <is>
          <t>Nothing measured</t>
        </is>
      </c>
      <c r="F53" s="14" t="inlineStr">
        <is>
          <t>ASSUMPTION</t>
        </is>
      </c>
      <c r="G53" s="13" t="inlineStr">
        <is>
          <t>Each call is rounded up to a whole minute.</t>
        </is>
      </c>
    </row>
    <row r="54">
      <c r="A54" s="7" t="inlineStr">
        <is>
          <t>min_vm</t>
        </is>
      </c>
      <c r="B54" s="8" t="inlineStr">
        <is>
          <t>Billed minutes when voicemail answers</t>
        </is>
      </c>
      <c r="C54" s="17" t="n">
        <v>1</v>
      </c>
      <c r="D54" s="10" t="inlineStr">
        <is>
          <t>minutes</t>
        </is>
      </c>
      <c r="E54" s="11" t="inlineStr">
        <is>
          <t>Nothing measured</t>
        </is>
      </c>
      <c r="F54" s="14" t="inlineStr">
        <is>
          <t>ASSUMPTION</t>
        </is>
      </c>
      <c r="G54" s="13" t="inlineStr"/>
    </row>
    <row r="55">
      <c r="A55" s="7" t="inlineStr">
        <is>
          <t>min_ring</t>
        </is>
      </c>
      <c r="B55" s="8" t="inlineStr">
        <is>
          <t>Browser-leg minutes billed on an unanswered attempt</t>
        </is>
      </c>
      <c r="C55" s="17" t="n">
        <v>1</v>
      </c>
      <c r="D55" s="10" t="inlineStr">
        <is>
          <t>minutes</t>
        </is>
      </c>
      <c r="E55" s="11" t="inlineStr">
        <is>
          <t>Code: no answerOnBridge on the dial (src/routes/voice.js)</t>
        </is>
      </c>
      <c r="F55" s="14" t="inlineStr">
        <is>
          <t>ASSUMPTION</t>
        </is>
      </c>
      <c r="G55" s="13" t="inlineStr">
        <is>
          <t>UNVERIFIED against a bill. Set to 0 if ring time turns out to be free.</t>
        </is>
      </c>
    </row>
    <row r="56">
      <c r="A56" s="7" t="inlineStr">
        <is>
          <t>in_day</t>
        </is>
      </c>
      <c r="B56" s="8" t="inlineStr">
        <is>
          <t>Inbound calls per seat per day</t>
        </is>
      </c>
      <c r="C56" s="9" t="n">
        <v>8</v>
      </c>
      <c r="D56" s="10" t="inlineStr">
        <is>
          <t>calls</t>
        </is>
      </c>
      <c r="E56" s="11" t="inlineStr">
        <is>
          <t>Nothing measured</t>
        </is>
      </c>
      <c r="F56" s="14" t="inlineStr">
        <is>
          <t>ASSUMPTION</t>
        </is>
      </c>
      <c r="G56" s="13" t="inlineStr"/>
    </row>
    <row r="57">
      <c r="A57" s="7" t="inlineStr">
        <is>
          <t>in_ans</t>
        </is>
      </c>
      <c r="B57" s="8" t="inlineStr">
        <is>
          <t>Inbound calls answered</t>
        </is>
      </c>
      <c r="C57" s="16" t="n">
        <v>0.8</v>
      </c>
      <c r="D57" s="10" t="inlineStr">
        <is>
          <t>%</t>
        </is>
      </c>
      <c r="E57" s="11" t="inlineStr">
        <is>
          <t>Nothing measured</t>
        </is>
      </c>
      <c r="F57" s="14" t="inlineStr">
        <is>
          <t>ASSUMPTION</t>
        </is>
      </c>
      <c r="G57" s="13" t="inlineStr"/>
    </row>
    <row r="58">
      <c r="A58" s="7" t="inlineStr">
        <is>
          <t>min_in</t>
        </is>
      </c>
      <c r="B58" s="8" t="inlineStr">
        <is>
          <t>Billed minutes per answered inbound call</t>
        </is>
      </c>
      <c r="C58" s="17" t="n">
        <v>4</v>
      </c>
      <c r="D58" s="10" t="inlineStr">
        <is>
          <t>minutes</t>
        </is>
      </c>
      <c r="E58" s="11" t="inlineStr">
        <is>
          <t>Nothing measured</t>
        </is>
      </c>
      <c r="F58" s="14" t="inlineStr">
        <is>
          <t>ASSUMPTION</t>
        </is>
      </c>
      <c r="G58" s="13" t="inlineStr"/>
    </row>
    <row r="59">
      <c r="A59" s="7" t="inlineStr">
        <is>
          <t>min_in_unans</t>
        </is>
      </c>
      <c r="B59" s="8" t="inlineStr">
        <is>
          <t>Billed inbound minutes on an unanswered inbound call</t>
        </is>
      </c>
      <c r="C59" s="17" t="n">
        <v>1</v>
      </c>
      <c r="D59" s="10" t="inlineStr">
        <is>
          <t>minutes</t>
        </is>
      </c>
      <c r="E59" s="11" t="inlineStr">
        <is>
          <t>Code: no answerOnBridge (src/routes/inbound.js)</t>
        </is>
      </c>
      <c r="F59" s="14" t="inlineStr">
        <is>
          <t>ASSUMPTION</t>
        </is>
      </c>
      <c r="G59" s="13" t="inlineStr">
        <is>
          <t>UNVERIFIED against a bill.</t>
        </is>
      </c>
    </row>
    <row r="60">
      <c r="A60" s="7" t="inlineStr">
        <is>
          <t>rec_out</t>
        </is>
      </c>
      <c r="B60" s="8" t="inlineStr">
        <is>
          <t>Outbound calls are recorded: 1 yes, 0 no</t>
        </is>
      </c>
      <c r="C60" s="9" t="n">
        <v>1</v>
      </c>
      <c r="D60" s="10" t="inlineStr">
        <is>
          <t>switch</t>
        </is>
      </c>
      <c r="E60" s="11" t="inlineStr">
        <is>
          <t>Code: record-from-answer on every outbound call (src/routes/voice.js:21)</t>
        </is>
      </c>
      <c r="F60" s="12" t="inlineStr">
        <is>
          <t>High</t>
        </is>
      </c>
      <c r="G60" s="13" t="inlineStr"/>
    </row>
    <row r="61">
      <c r="A61" s="7" t="inlineStr">
        <is>
          <t>rec_in</t>
        </is>
      </c>
      <c r="B61" s="8" t="inlineStr">
        <is>
          <t>Inbound calls are recorded: 1 yes, 0 no</t>
        </is>
      </c>
      <c r="C61" s="9" t="n">
        <v>0</v>
      </c>
      <c r="D61" s="10" t="inlineStr">
        <is>
          <t>switch</t>
        </is>
      </c>
      <c r="E61" s="11" t="inlineStr">
        <is>
          <t>Code: no record on the inbound dial (src/routes/inbound.js:21)</t>
        </is>
      </c>
      <c r="F61" s="12" t="inlineStr">
        <is>
          <t>High</t>
        </is>
      </c>
      <c r="G61" s="13" t="inlineStr"/>
    </row>
    <row r="62">
      <c r="A62" s="7" t="inlineStr">
        <is>
          <t>retention</t>
        </is>
      </c>
      <c r="B62" s="8" t="inlineStr">
        <is>
          <t>Months a recording is kept</t>
        </is>
      </c>
      <c r="C62" s="9" t="n">
        <v>12</v>
      </c>
      <c r="D62" s="10" t="inlineStr">
        <is>
          <t>months</t>
        </is>
      </c>
      <c r="E62" s="11" t="inlineStr">
        <is>
          <t>Nothing measured</t>
        </is>
      </c>
      <c r="F62" s="14" t="inlineStr">
        <is>
          <t>ASSUMPTION</t>
        </is>
      </c>
      <c r="G62" s="13" t="inlineStr">
        <is>
          <t>The code never deletes a recording. 12 assumes a retention rule is added.</t>
        </is>
      </c>
    </row>
    <row r="63">
      <c r="A63" s="7" t="inlineStr">
        <is>
          <t>amd_on</t>
        </is>
      </c>
      <c r="B63" s="8" t="inlineStr">
        <is>
          <t>Answering machine detection: 1 on, 0 off</t>
        </is>
      </c>
      <c r="C63" s="9" t="n">
        <v>0</v>
      </c>
      <c r="D63" s="10" t="inlineStr">
        <is>
          <t>switch</t>
        </is>
      </c>
      <c r="E63" s="11" t="inlineStr">
        <is>
          <t>Code: not used anywhere in src/</t>
        </is>
      </c>
      <c r="F63" s="12" t="inlineStr">
        <is>
          <t>High</t>
        </is>
      </c>
      <c r="G63" s="13" t="inlineStr">
        <is>
          <t>The planned auto dialer would turn this on.</t>
        </is>
      </c>
    </row>
    <row r="64">
      <c r="A64" s="7" t="inlineStr">
        <is>
          <t>band</t>
        </is>
      </c>
      <c r="B64" s="8" t="inlineStr">
        <is>
          <t>Low and high band when there are under 3 months of data</t>
        </is>
      </c>
      <c r="C64" s="16" t="n">
        <v>0.5</v>
      </c>
      <c r="D64" s="10" t="inlineStr">
        <is>
          <t>%</t>
        </is>
      </c>
      <c r="E64" s="11" t="inlineStr">
        <is>
          <t>Rule in the brief</t>
        </is>
      </c>
      <c r="F64" s="12" t="inlineStr">
        <is>
          <t>High</t>
        </is>
      </c>
      <c r="G64" s="13" t="inlineStr"/>
    </row>
    <row r="65">
      <c r="A65" s="7" t="inlineStr">
        <is>
          <t>d_attempts</t>
        </is>
      </c>
      <c r="B65" s="8" t="inlineStr">
        <is>
          <t>Outbound attempts per seat per month</t>
        </is>
      </c>
      <c r="C65" s="15">
        <f>$C$48*$C$49</f>
        <v/>
      </c>
      <c r="D65" s="10" t="inlineStr">
        <is>
          <t>calls</t>
        </is>
      </c>
      <c r="E65" s="11" t="inlineStr">
        <is>
          <t>Formula</t>
        </is>
      </c>
      <c r="F65" s="12" t="inlineStr"/>
      <c r="G65" s="13" t="inlineStr"/>
    </row>
    <row r="66">
      <c r="A66" s="7" t="inlineStr">
        <is>
          <t>d_out_min</t>
        </is>
      </c>
      <c r="B66" s="8" t="inlineStr">
        <is>
          <t>Billed minutes, PSTN outbound, per seat</t>
        </is>
      </c>
      <c r="C66" s="15">
        <f>$C$65*($C$50*$C$53+$C$51*$C$54)</f>
        <v/>
      </c>
      <c r="D66" s="10" t="inlineStr">
        <is>
          <t>minutes</t>
        </is>
      </c>
      <c r="E66" s="11" t="inlineStr">
        <is>
          <t>Formula</t>
        </is>
      </c>
      <c r="F66" s="12" t="inlineStr"/>
      <c r="G66" s="13" t="inlineStr"/>
    </row>
    <row r="67">
      <c r="A67" s="7" t="inlineStr">
        <is>
          <t>d_in_calls</t>
        </is>
      </c>
      <c r="B67" s="8" t="inlineStr">
        <is>
          <t>Inbound calls per seat per month</t>
        </is>
      </c>
      <c r="C67" s="15">
        <f>$C$48*$C$56</f>
        <v/>
      </c>
      <c r="D67" s="10" t="inlineStr">
        <is>
          <t>calls</t>
        </is>
      </c>
      <c r="E67" s="11" t="inlineStr">
        <is>
          <t>Formula</t>
        </is>
      </c>
      <c r="F67" s="12" t="inlineStr"/>
      <c r="G67" s="13" t="inlineStr"/>
    </row>
    <row r="68">
      <c r="A68" s="7" t="inlineStr">
        <is>
          <t>d_in_min</t>
        </is>
      </c>
      <c r="B68" s="8" t="inlineStr">
        <is>
          <t>Billed minutes, PSTN inbound, per seat</t>
        </is>
      </c>
      <c r="C68" s="15">
        <f>$C$67*($C$57*$C$58+(1-$C$57)*$C$59)</f>
        <v/>
      </c>
      <c r="D68" s="10" t="inlineStr">
        <is>
          <t>minutes</t>
        </is>
      </c>
      <c r="E68" s="11" t="inlineStr">
        <is>
          <t>Formula</t>
        </is>
      </c>
      <c r="F68" s="12" t="inlineStr"/>
      <c r="G68" s="13" t="inlineStr"/>
    </row>
    <row r="69">
      <c r="A69" s="7" t="inlineStr">
        <is>
          <t>d_browser_min</t>
        </is>
      </c>
      <c r="B69" s="8" t="inlineStr">
        <is>
          <t>Billed minutes, browser leg, per seat</t>
        </is>
      </c>
      <c r="C69" s="15">
        <f>$C$66+$C$65*$C$52*$C$55+$C$67*$C$57*$C$58</f>
        <v/>
      </c>
      <c r="D69" s="10" t="inlineStr">
        <is>
          <t>minutes</t>
        </is>
      </c>
      <c r="E69" s="11" t="inlineStr">
        <is>
          <t>Formula</t>
        </is>
      </c>
      <c r="F69" s="12" t="inlineStr"/>
      <c r="G69" s="13" t="inlineStr"/>
    </row>
    <row r="70">
      <c r="A70" s="7" t="inlineStr">
        <is>
          <t>d_rec_min</t>
        </is>
      </c>
      <c r="B70" s="8" t="inlineStr">
        <is>
          <t>Recorded minutes per seat</t>
        </is>
      </c>
      <c r="C70" s="15">
        <f>$C$66*$C$60+$C$67*$C$57*$C$58*$C$61</f>
        <v/>
      </c>
      <c r="D70" s="10" t="inlineStr">
        <is>
          <t>minutes</t>
        </is>
      </c>
      <c r="E70" s="11" t="inlineStr">
        <is>
          <t>Formula</t>
        </is>
      </c>
      <c r="F70" s="12" t="inlineStr"/>
      <c r="G70" s="13" t="inlineStr"/>
    </row>
    <row r="71">
      <c r="A71" s="7" t="inlineStr">
        <is>
          <t>d_calls</t>
        </is>
      </c>
      <c r="B71" s="8" t="inlineStr">
        <is>
          <t>Calls per seat per month</t>
        </is>
      </c>
      <c r="C71" s="15">
        <f>$C$65+$C$67</f>
        <v/>
      </c>
      <c r="D71" s="10" t="inlineStr">
        <is>
          <t>calls</t>
        </is>
      </c>
      <c r="E71" s="11" t="inlineStr">
        <is>
          <t>Formula</t>
        </is>
      </c>
      <c r="F71" s="12" t="inlineStr"/>
      <c r="G71" s="13" t="inlineStr"/>
    </row>
    <row r="72">
      <c r="A72" s="7" t="inlineStr">
        <is>
          <t>d_amd</t>
        </is>
      </c>
      <c r="B72" s="8" t="inlineStr">
        <is>
          <t>Answering-machine-detection calls per seat</t>
        </is>
      </c>
      <c r="C72" s="15">
        <f>$C$65*$C$63</f>
        <v/>
      </c>
      <c r="D72" s="10" t="inlineStr">
        <is>
          <t>calls</t>
        </is>
      </c>
      <c r="E72" s="11" t="inlineStr">
        <is>
          <t>Formula</t>
        </is>
      </c>
      <c r="F72" s="12" t="inlineStr"/>
      <c r="G72" s="13" t="inlineStr"/>
    </row>
    <row r="74">
      <c r="A74" s="5" t="inlineStr">
        <is>
          <t>Texting: what a seat sends</t>
        </is>
      </c>
      <c r="B74" s="6" t="n"/>
      <c r="C74" s="6" t="n"/>
      <c r="D74" s="6" t="n"/>
      <c r="E74" s="6" t="n"/>
      <c r="F74" s="6" t="n"/>
      <c r="G74" s="6" t="n"/>
    </row>
    <row r="75">
      <c r="A75" s="7" t="inlineStr">
        <is>
          <t>texts_per_lead</t>
        </is>
      </c>
      <c r="B75" s="8" t="inlineStr">
        <is>
          <t>Automated texts per lead</t>
        </is>
      </c>
      <c r="C75" s="17" t="n">
        <v>6</v>
      </c>
      <c r="D75" s="10" t="inlineStr">
        <is>
          <t>texts</t>
        </is>
      </c>
      <c r="E75" s="11" t="inlineStr">
        <is>
          <t>Nothing measured</t>
        </is>
      </c>
      <c r="F75" s="14" t="inlineStr">
        <is>
          <t>ASSUMPTION</t>
        </is>
      </c>
      <c r="G75" s="13" t="inlineStr"/>
    </row>
    <row r="76">
      <c r="A76" s="7" t="inlineStr">
        <is>
          <t>seg_per_text</t>
        </is>
      </c>
      <c r="B76" s="8" t="inlineStr">
        <is>
          <t>Segments per automated text</t>
        </is>
      </c>
      <c r="C76" s="17" t="n">
        <v>1.6</v>
      </c>
      <c r="D76" s="10" t="inlineStr">
        <is>
          <t>segments</t>
        </is>
      </c>
      <c r="E76" s="11" t="inlineStr">
        <is>
          <t>Nothing measured</t>
        </is>
      </c>
      <c r="F76" s="14" t="inlineStr">
        <is>
          <t>ASSUMPTION</t>
        </is>
      </c>
      <c r="G76" s="13" t="inlineStr">
        <is>
          <t>A text with a signature line usually runs past 160 characters.</t>
        </is>
      </c>
    </row>
    <row r="77">
      <c r="A77" s="7" t="inlineStr">
        <is>
          <t>manual_day</t>
        </is>
      </c>
      <c r="B77" s="8" t="inlineStr">
        <is>
          <t>Texts an agent types per day</t>
        </is>
      </c>
      <c r="C77" s="17" t="n">
        <v>10</v>
      </c>
      <c r="D77" s="10" t="inlineStr">
        <is>
          <t>texts</t>
        </is>
      </c>
      <c r="E77" s="11" t="inlineStr">
        <is>
          <t>Nothing measured</t>
        </is>
      </c>
      <c r="F77" s="14" t="inlineStr">
        <is>
          <t>ASSUMPTION</t>
        </is>
      </c>
      <c r="G77" s="13" t="inlineStr"/>
    </row>
    <row r="78">
      <c r="A78" s="7" t="inlineStr">
        <is>
          <t>seg_manual</t>
        </is>
      </c>
      <c r="B78" s="8" t="inlineStr">
        <is>
          <t>Segments per typed text</t>
        </is>
      </c>
      <c r="C78" s="17" t="n">
        <v>1.3</v>
      </c>
      <c r="D78" s="10" t="inlineStr">
        <is>
          <t>segments</t>
        </is>
      </c>
      <c r="E78" s="11" t="inlineStr">
        <is>
          <t>Nothing measured</t>
        </is>
      </c>
      <c r="F78" s="14" t="inlineStr">
        <is>
          <t>ASSUMPTION</t>
        </is>
      </c>
      <c r="G78" s="13" t="inlineStr"/>
    </row>
    <row r="79">
      <c r="A79" s="7" t="inlineStr">
        <is>
          <t>reply_rate</t>
        </is>
      </c>
      <c r="B79" s="8" t="inlineStr">
        <is>
          <t>Leads that reply</t>
        </is>
      </c>
      <c r="C79" s="16" t="n">
        <v>0.25</v>
      </c>
      <c r="D79" s="10" t="inlineStr">
        <is>
          <t>%</t>
        </is>
      </c>
      <c r="E79" s="11" t="inlineStr">
        <is>
          <t>Nothing measured</t>
        </is>
      </c>
      <c r="F79" s="14" t="inlineStr">
        <is>
          <t>ASSUMPTION</t>
        </is>
      </c>
      <c r="G79" s="13" t="inlineStr"/>
    </row>
    <row r="80">
      <c r="A80" s="7" t="inlineStr">
        <is>
          <t>in_per_reply</t>
        </is>
      </c>
      <c r="B80" s="8" t="inlineStr">
        <is>
          <t>Inbound messages per replying lead</t>
        </is>
      </c>
      <c r="C80" s="17" t="n">
        <v>2</v>
      </c>
      <c r="D80" s="10" t="inlineStr">
        <is>
          <t>messages</t>
        </is>
      </c>
      <c r="E80" s="11" t="inlineStr">
        <is>
          <t>Nothing measured</t>
        </is>
      </c>
      <c r="F80" s="14" t="inlineStr">
        <is>
          <t>ASSUMPTION</t>
        </is>
      </c>
      <c r="G80" s="13" t="inlineStr"/>
    </row>
    <row r="81">
      <c r="A81" s="7" t="inlineStr">
        <is>
          <t>d_seg_out</t>
        </is>
      </c>
      <c r="B81" s="8" t="inlineStr">
        <is>
          <t>Outbound segments per seat per month</t>
        </is>
      </c>
      <c r="C81" s="15">
        <f>$C$44*$C$75*$C$76+$C$48*$C$77*$C$78</f>
        <v/>
      </c>
      <c r="D81" s="10" t="inlineStr">
        <is>
          <t>segments</t>
        </is>
      </c>
      <c r="E81" s="11" t="inlineStr">
        <is>
          <t>Formula</t>
        </is>
      </c>
      <c r="F81" s="12" t="inlineStr"/>
      <c r="G81" s="13" t="inlineStr"/>
    </row>
    <row r="82">
      <c r="A82" s="7" t="inlineStr">
        <is>
          <t>d_seg_in</t>
        </is>
      </c>
      <c r="B82" s="8" t="inlineStr">
        <is>
          <t>Inbound segments per seat per month</t>
        </is>
      </c>
      <c r="C82" s="15">
        <f>$C$44*$C$79*$C$80</f>
        <v/>
      </c>
      <c r="D82" s="10" t="inlineStr">
        <is>
          <t>segments</t>
        </is>
      </c>
      <c r="E82" s="11" t="inlineStr">
        <is>
          <t>Formula</t>
        </is>
      </c>
      <c r="F82" s="12" t="inlineStr"/>
      <c r="G82" s="13" t="inlineStr"/>
    </row>
    <row r="84">
      <c r="A84" s="5" t="inlineStr">
        <is>
          <t>AI SMS: what a tenant uses</t>
        </is>
      </c>
      <c r="B84" s="6" t="n"/>
      <c r="C84" s="6" t="n"/>
      <c r="D84" s="6" t="n"/>
      <c r="E84" s="6" t="n"/>
      <c r="F84" s="6" t="n"/>
      <c r="G84" s="6" t="n"/>
    </row>
    <row r="85">
      <c r="A85" s="7" t="inlineStr">
        <is>
          <t>ai_turns</t>
        </is>
      </c>
      <c r="B85" s="8" t="inlineStr">
        <is>
          <t>AI replies per conversation</t>
        </is>
      </c>
      <c r="C85" s="17" t="n">
        <v>4</v>
      </c>
      <c r="D85" s="10" t="inlineStr">
        <is>
          <t>turns</t>
        </is>
      </c>
      <c r="E85" s="11" t="inlineStr">
        <is>
          <t>Nothing measured</t>
        </is>
      </c>
      <c r="F85" s="14" t="inlineStr">
        <is>
          <t>ASSUMPTION</t>
        </is>
      </c>
      <c r="G85" s="13" t="inlineStr"/>
    </row>
    <row r="86">
      <c r="A86" s="7" t="inlineStr">
        <is>
          <t>tok_in</t>
        </is>
      </c>
      <c r="B86" s="8" t="inlineStr">
        <is>
          <t>Input tokens per AI reply</t>
        </is>
      </c>
      <c r="C86" s="9" t="n">
        <v>3500</v>
      </c>
      <c r="D86" s="10" t="inlineStr">
        <is>
          <t>tokens</t>
        </is>
      </c>
      <c r="E86" s="11" t="inlineStr">
        <is>
          <t>Nothing measured</t>
        </is>
      </c>
      <c r="F86" s="14" t="inlineStr">
        <is>
          <t>ASSUMPTION</t>
        </is>
      </c>
      <c r="G86" s="13" t="inlineStr">
        <is>
          <t>Instructions plus the thread so far.</t>
        </is>
      </c>
    </row>
    <row r="87">
      <c r="A87" s="7" t="inlineStr">
        <is>
          <t>tok_out</t>
        </is>
      </c>
      <c r="B87" s="8" t="inlineStr">
        <is>
          <t>Output tokens per AI reply</t>
        </is>
      </c>
      <c r="C87" s="9" t="n">
        <v>300</v>
      </c>
      <c r="D87" s="10" t="inlineStr">
        <is>
          <t>tokens</t>
        </is>
      </c>
      <c r="E87" s="11" t="inlineStr">
        <is>
          <t>Nothing measured</t>
        </is>
      </c>
      <c r="F87" s="14" t="inlineStr">
        <is>
          <t>ASSUMPTION</t>
        </is>
      </c>
      <c r="G87" s="13" t="inlineStr"/>
    </row>
    <row r="88">
      <c r="A88" s="7" t="inlineStr">
        <is>
          <t>ai_seg_out</t>
        </is>
      </c>
      <c r="B88" s="8" t="inlineStr">
        <is>
          <t>Segments per AI text</t>
        </is>
      </c>
      <c r="C88" s="17" t="n">
        <v>1.6</v>
      </c>
      <c r="D88" s="10" t="inlineStr">
        <is>
          <t>segments</t>
        </is>
      </c>
      <c r="E88" s="11" t="inlineStr">
        <is>
          <t>Nothing measured</t>
        </is>
      </c>
      <c r="F88" s="14" t="inlineStr">
        <is>
          <t>ASSUMPTION</t>
        </is>
      </c>
      <c r="G88" s="13" t="inlineStr"/>
    </row>
    <row r="89">
      <c r="A89" s="7" t="inlineStr">
        <is>
          <t>ai_seg_in</t>
        </is>
      </c>
      <c r="B89" s="8" t="inlineStr">
        <is>
          <t>Segments per reply</t>
        </is>
      </c>
      <c r="C89" s="17" t="n">
        <v>1</v>
      </c>
      <c r="D89" s="10" t="inlineStr">
        <is>
          <t>segments</t>
        </is>
      </c>
      <c r="E89" s="11" t="inlineStr">
        <is>
          <t>Nothing measured</t>
        </is>
      </c>
      <c r="F89" s="14" t="inlineStr">
        <is>
          <t>ASSUMPTION</t>
        </is>
      </c>
      <c r="G89" s="13" t="inlineStr"/>
    </row>
    <row r="90">
      <c r="A90" s="7" t="inlineStr">
        <is>
          <t>d_ai_convos</t>
        </is>
      </c>
      <c r="B90" s="8" t="inlineStr">
        <is>
          <t>AI conversations per tenant per month</t>
        </is>
      </c>
      <c r="C90" s="15">
        <f>$C$45*$C$79</f>
        <v/>
      </c>
      <c r="D90" s="10" t="inlineStr">
        <is>
          <t>conversations</t>
        </is>
      </c>
      <c r="E90" s="11" t="inlineStr">
        <is>
          <t>Formula</t>
        </is>
      </c>
      <c r="F90" s="12" t="inlineStr"/>
      <c r="G90" s="13" t="inlineStr"/>
    </row>
    <row r="92">
      <c r="A92" s="5" t="inlineStr">
        <is>
          <t>Twilio Programmable Voice, US</t>
        </is>
      </c>
      <c r="B92" s="6" t="n"/>
      <c r="C92" s="6" t="n"/>
      <c r="D92" s="6" t="n"/>
      <c r="E92" s="6" t="n"/>
      <c r="F92" s="6" t="n"/>
      <c r="G92" s="6" t="n"/>
    </row>
    <row r="93">
      <c r="A93" s="7" t="inlineStr">
        <is>
          <t>tw_out</t>
        </is>
      </c>
      <c r="B93" s="8" t="inlineStr">
        <is>
          <t>Outbound to a US number</t>
        </is>
      </c>
      <c r="C93" s="20" t="n">
        <v>0.014</v>
      </c>
      <c r="D93" s="10" t="inlineStr">
        <is>
          <t>$ / minute</t>
        </is>
      </c>
      <c r="E93" s="11" t="inlineStr">
        <is>
          <t>twilio.com/en-us/voice/pricing/us, read 2026-10-04 (page dated August 2026)</t>
        </is>
      </c>
      <c r="F93" s="12" t="inlineStr">
        <is>
          <t>High</t>
        </is>
      </c>
      <c r="G93" s="13" t="inlineStr"/>
    </row>
    <row r="94">
      <c r="A94" s="7" t="inlineStr">
        <is>
          <t>tw_in</t>
        </is>
      </c>
      <c r="B94" s="8" t="inlineStr">
        <is>
          <t>Inbound on a local number</t>
        </is>
      </c>
      <c r="C94" s="20" t="n">
        <v>0.008500000000000001</v>
      </c>
      <c r="D94" s="10" t="inlineStr">
        <is>
          <t>$ / minute</t>
        </is>
      </c>
      <c r="E94" s="11" t="inlineStr">
        <is>
          <t>twilio.com/en-us/voice/pricing/us, read 2026-10-04 (page dated August 2026)</t>
        </is>
      </c>
      <c r="F94" s="12" t="inlineStr">
        <is>
          <t>High</t>
        </is>
      </c>
      <c r="G94" s="13" t="inlineStr"/>
    </row>
    <row r="95">
      <c r="A95" s="7" t="inlineStr">
        <is>
          <t>tw_client</t>
        </is>
      </c>
      <c r="B95" s="8" t="inlineStr">
        <is>
          <t>Browser (Voice SDK) leg</t>
        </is>
      </c>
      <c r="C95" s="20" t="n">
        <v>0.004</v>
      </c>
      <c r="D95" s="10" t="inlineStr">
        <is>
          <t>$ / minute</t>
        </is>
      </c>
      <c r="E95" s="11" t="inlineStr">
        <is>
          <t>twilio.com/en-us/voice/pricing/us, read 2026-10-04 (page dated August 2026)</t>
        </is>
      </c>
      <c r="F95" s="12" t="inlineStr">
        <is>
          <t>High</t>
        </is>
      </c>
      <c r="G95" s="13" t="inlineStr">
        <is>
          <t>Billed on top of the phone leg. Each leg rounds up to a minute.</t>
        </is>
      </c>
    </row>
    <row r="96">
      <c r="A96" s="7" t="inlineStr">
        <is>
          <t>tw_rec</t>
        </is>
      </c>
      <c r="B96" s="8" t="inlineStr">
        <is>
          <t>Call recording</t>
        </is>
      </c>
      <c r="C96" s="20" t="n">
        <v>0.0025</v>
      </c>
      <c r="D96" s="10" t="inlineStr">
        <is>
          <t>$ / minute</t>
        </is>
      </c>
      <c r="E96" s="11" t="inlineStr">
        <is>
          <t>twilio.com/en-us/voice/pricing/us, read 2026-10-04 (page dated August 2026)</t>
        </is>
      </c>
      <c r="F96" s="12" t="inlineStr">
        <is>
          <t>High</t>
        </is>
      </c>
      <c r="G96" s="13" t="inlineStr"/>
    </row>
    <row r="97">
      <c r="A97" s="7" t="inlineStr">
        <is>
          <t>tw_store</t>
        </is>
      </c>
      <c r="B97" s="8" t="inlineStr">
        <is>
          <t>Recording storage</t>
        </is>
      </c>
      <c r="C97" s="20" t="n">
        <v>0.0005</v>
      </c>
      <c r="D97" s="10" t="inlineStr">
        <is>
          <t>$ / minute / month</t>
        </is>
      </c>
      <c r="E97" s="11" t="inlineStr">
        <is>
          <t>twilio.com/en-us/voice/pricing/us, read 2026-10-04 (page dated August 2026)</t>
        </is>
      </c>
      <c r="F97" s="12" t="inlineStr">
        <is>
          <t>High</t>
        </is>
      </c>
      <c r="G97" s="13" t="inlineStr">
        <is>
          <t>No free allotment is stated on the page.</t>
        </is>
      </c>
    </row>
    <row r="98">
      <c r="A98" s="7" t="inlineStr">
        <is>
          <t>tw_num</t>
        </is>
      </c>
      <c r="B98" s="8" t="inlineStr">
        <is>
          <t>Local number</t>
        </is>
      </c>
      <c r="C98" s="18" t="n">
        <v>1.15</v>
      </c>
      <c r="D98" s="10" t="inlineStr">
        <is>
          <t>$ / month</t>
        </is>
      </c>
      <c r="E98" s="11" t="inlineStr">
        <is>
          <t>twilio.com/en-us/voice/pricing/us, read 2026-10-04 (page dated August 2026)</t>
        </is>
      </c>
      <c r="F98" s="12" t="inlineStr">
        <is>
          <t>High</t>
        </is>
      </c>
      <c r="G98" s="13" t="inlineStr"/>
    </row>
    <row r="99">
      <c r="A99" s="7" t="inlineStr">
        <is>
          <t>tw_amd</t>
        </is>
      </c>
      <c r="B99" s="8" t="inlineStr">
        <is>
          <t>Answering machine detection</t>
        </is>
      </c>
      <c r="C99" s="20" t="n">
        <v>0.0075</v>
      </c>
      <c r="D99" s="10" t="inlineStr">
        <is>
          <t>$ / call</t>
        </is>
      </c>
      <c r="E99" s="11" t="inlineStr">
        <is>
          <t>twilio.com/en-us/voice/pricing/us, read 2026-10-04 (page dated August 2026)</t>
        </is>
      </c>
      <c r="F99" s="12" t="inlineStr">
        <is>
          <t>High</t>
        </is>
      </c>
      <c r="G99" s="13" t="inlineStr"/>
    </row>
    <row r="101">
      <c r="A101" s="5" t="inlineStr">
        <is>
          <t>Twilio Messaging and 10DLC, US</t>
        </is>
      </c>
      <c r="B101" s="6" t="n"/>
      <c r="C101" s="6" t="n"/>
      <c r="D101" s="6" t="n"/>
      <c r="E101" s="6" t="n"/>
      <c r="F101" s="6" t="n"/>
      <c r="G101" s="6" t="n"/>
    </row>
    <row r="102">
      <c r="A102" s="7" t="inlineStr">
        <is>
          <t>tw_sms_out</t>
        </is>
      </c>
      <c r="B102" s="8" t="inlineStr">
        <is>
          <t>Outbound SMS</t>
        </is>
      </c>
      <c r="C102" s="20" t="n">
        <v>0.0083</v>
      </c>
      <c r="D102" s="10" t="inlineStr">
        <is>
          <t>$ / segment</t>
        </is>
      </c>
      <c r="E102" s="11" t="inlineStr">
        <is>
          <t>twilio.com/en-us/sms/pricing/us, read 2026-10-04 (page dated September 2026)</t>
        </is>
      </c>
      <c r="F102" s="12" t="inlineStr">
        <is>
          <t>High</t>
        </is>
      </c>
      <c r="G102" s="13" t="inlineStr">
        <is>
          <t>One flat rate. No volume tiers are published.</t>
        </is>
      </c>
    </row>
    <row r="103">
      <c r="A103" s="7" t="inlineStr">
        <is>
          <t>tw_sms_in</t>
        </is>
      </c>
      <c r="B103" s="8" t="inlineStr">
        <is>
          <t>Inbound SMS</t>
        </is>
      </c>
      <c r="C103" s="20" t="n">
        <v>0.0083</v>
      </c>
      <c r="D103" s="10" t="inlineStr">
        <is>
          <t>$ / segment</t>
        </is>
      </c>
      <c r="E103" s="11" t="inlineStr">
        <is>
          <t>twilio.com/en-us/sms/pricing/us, read 2026-10-04 (page dated September 2026)</t>
        </is>
      </c>
      <c r="F103" s="12" t="inlineStr">
        <is>
          <t>High</t>
        </is>
      </c>
      <c r="G103" s="13" t="inlineStr"/>
    </row>
    <row r="104">
      <c r="A104" s="7" t="inlineStr">
        <is>
          <t>tw_car_out</t>
        </is>
      </c>
      <c r="B104" s="8" t="inlineStr">
        <is>
          <t>Carrier fee, outbound, blended</t>
        </is>
      </c>
      <c r="C104" s="20" t="n">
        <v>0.0044</v>
      </c>
      <c r="D104" s="10" t="inlineStr">
        <is>
          <t>$ / segment</t>
        </is>
      </c>
      <c r="E104" s="11" t="inlineStr">
        <is>
          <t>twilio.com/en-us/sms/pricing/us, read 2026-10-04 (page dated September 2026)</t>
        </is>
      </c>
      <c r="F104" s="12" t="inlineStr">
        <is>
          <t>Med</t>
        </is>
      </c>
      <c r="G104" s="13" t="inlineStr">
        <is>
          <t>Rates are published: AT&amp;T $0.0035, T-Mobile $0.0045, Verizon $0.005, US Cellular $0.005, others $0.0042. The blend is an ASSUMPTION (Verizon 35%, T-Mobile 33%, AT&amp;T 28%, others 4%).</t>
        </is>
      </c>
    </row>
    <row r="105">
      <c r="A105" s="7" t="inlineStr">
        <is>
          <t>tw_car_in</t>
        </is>
      </c>
      <c r="B105" s="8" t="inlineStr">
        <is>
          <t>Carrier fee, inbound, blended</t>
        </is>
      </c>
      <c r="C105" s="20" t="n">
        <v>0.0018</v>
      </c>
      <c r="D105" s="10" t="inlineStr">
        <is>
          <t>$ / segment</t>
        </is>
      </c>
      <c r="E105" s="11" t="inlineStr">
        <is>
          <t>twilio.com/en-us/sms/pricing/us, read 2026-10-04 (page dated September 2026)</t>
        </is>
      </c>
      <c r="F105" s="12" t="inlineStr">
        <is>
          <t>Med</t>
        </is>
      </c>
      <c r="G105" s="13" t="inlineStr">
        <is>
          <t>AT&amp;T $0.0035, T-Mobile and US Cellular $0.0025, none listed for Verizon. Same blend.</t>
        </is>
      </c>
    </row>
    <row r="106">
      <c r="A106" s="7" t="inlineStr">
        <is>
          <t>tw_brand</t>
        </is>
      </c>
      <c r="B106" s="8" t="inlineStr">
        <is>
          <t>10DLC brand registration</t>
        </is>
      </c>
      <c r="C106" s="18" t="n">
        <v>4.5</v>
      </c>
      <c r="D106" s="10" t="inlineStr">
        <is>
          <t>$ one-time</t>
        </is>
      </c>
      <c r="E106" s="11" t="inlineStr">
        <is>
          <t>Twilio help article 1260803965530 (A2P 10DLC fees), read 2026-10-04</t>
        </is>
      </c>
      <c r="F106" s="12" t="inlineStr">
        <is>
          <t>High</t>
        </is>
      </c>
      <c r="G106" s="13" t="inlineStr">
        <is>
          <t>Low-volume standard brand. A standard brand is $46.</t>
        </is>
      </c>
    </row>
    <row r="107">
      <c r="A107" s="7" t="inlineStr">
        <is>
          <t>tw_vet</t>
        </is>
      </c>
      <c r="B107" s="8" t="inlineStr">
        <is>
          <t>10DLC campaign vetting</t>
        </is>
      </c>
      <c r="C107" s="18" t="n">
        <v>15</v>
      </c>
      <c r="D107" s="10" t="inlineStr">
        <is>
          <t>$ one-time</t>
        </is>
      </c>
      <c r="E107" s="11" t="inlineStr">
        <is>
          <t>Twilio help article 1260803965530 (A2P 10DLC fees), read 2026-10-04</t>
        </is>
      </c>
      <c r="F107" s="12" t="inlineStr">
        <is>
          <t>High</t>
        </is>
      </c>
      <c r="G107" s="13" t="inlineStr"/>
    </row>
    <row r="108">
      <c r="A108" s="7" t="inlineStr">
        <is>
          <t>tw_camp_mo</t>
        </is>
      </c>
      <c r="B108" s="8" t="inlineStr">
        <is>
          <t>10DLC campaign fee</t>
        </is>
      </c>
      <c r="C108" s="18" t="n">
        <v>1.5</v>
      </c>
      <c r="D108" s="10" t="inlineStr">
        <is>
          <t>$ / month</t>
        </is>
      </c>
      <c r="E108" s="11" t="inlineStr">
        <is>
          <t>Twilio help article 1260803965530 (A2P 10DLC fees), read 2026-10-04</t>
        </is>
      </c>
      <c r="F108" s="12" t="inlineStr">
        <is>
          <t>High</t>
        </is>
      </c>
      <c r="G108" s="13" t="inlineStr">
        <is>
          <t>Low-volume mixed campaign, capped at 2,000 segments a day to T-Mobile. A standard campaign is $10.</t>
        </is>
      </c>
    </row>
    <row r="109">
      <c r="A109" s="7" t="inlineStr">
        <is>
          <t>sms_nums</t>
        </is>
      </c>
      <c r="B109" s="8" t="inlineStr">
        <is>
          <t>Texting numbers per tenant</t>
        </is>
      </c>
      <c r="C109" s="9" t="n">
        <v>1</v>
      </c>
      <c r="D109" s="10" t="inlineStr">
        <is>
          <t>numbers</t>
        </is>
      </c>
      <c r="E109" s="11" t="inlineStr">
        <is>
          <t>Nothing measured</t>
        </is>
      </c>
      <c r="F109" s="14" t="inlineStr">
        <is>
          <t>ASSUMPTION</t>
        </is>
      </c>
      <c r="G109" s="13" t="inlineStr"/>
    </row>
    <row r="111">
      <c r="A111" s="5" t="inlineStr">
        <is>
          <t>Zoho</t>
        </is>
      </c>
      <c r="B111" s="6" t="n"/>
      <c r="C111" s="6" t="n"/>
      <c r="D111" s="6" t="n"/>
      <c r="E111" s="6" t="n"/>
      <c r="F111" s="6" t="n"/>
      <c r="G111" s="6" t="n"/>
    </row>
    <row r="112">
      <c r="A112" s="7" t="inlineStr">
        <is>
          <t>zc_pro</t>
        </is>
      </c>
      <c r="B112" s="8" t="inlineStr">
        <is>
          <t>Zoho CRM Professional</t>
        </is>
      </c>
      <c r="C112" s="18" t="n">
        <v>23</v>
      </c>
      <c r="D112" s="10" t="inlineStr">
        <is>
          <t>$ / user / month</t>
        </is>
      </c>
      <c r="E112" s="11" t="inlineStr">
        <is>
          <t>zoho.com/en-us/crm/zohocrm-pricing.html and comparison page, read 2026-10-04, annual billing</t>
        </is>
      </c>
      <c r="F112" s="12" t="inlineStr">
        <is>
          <t>High</t>
        </is>
      </c>
      <c r="G112" s="13" t="inlineStr"/>
    </row>
    <row r="113">
      <c r="A113" s="7" t="inlineStr">
        <is>
          <t>zc_ent</t>
        </is>
      </c>
      <c r="B113" s="8" t="inlineStr">
        <is>
          <t>Zoho CRM Enterprise</t>
        </is>
      </c>
      <c r="C113" s="18" t="n">
        <v>40</v>
      </c>
      <c r="D113" s="10" t="inlineStr">
        <is>
          <t>$ / user / month</t>
        </is>
      </c>
      <c r="E113" s="11" t="inlineStr">
        <is>
          <t>zoho.com/en-us/crm/zohocrm-pricing.html and comparison page, read 2026-10-04, annual billing</t>
        </is>
      </c>
      <c r="F113" s="12" t="inlineStr">
        <is>
          <t>High</t>
        </is>
      </c>
      <c r="G113" s="13" t="inlineStr"/>
    </row>
    <row r="114">
      <c r="A114" s="7" t="inlineStr">
        <is>
          <t>zc_ult</t>
        </is>
      </c>
      <c r="B114" s="8" t="inlineStr">
        <is>
          <t>Zoho CRM Ultimate</t>
        </is>
      </c>
      <c r="C114" s="18" t="n">
        <v>52</v>
      </c>
      <c r="D114" s="10" t="inlineStr">
        <is>
          <t>$ / user / month</t>
        </is>
      </c>
      <c r="E114" s="11" t="inlineStr">
        <is>
          <t>zoho.com/en-us/crm/zohocrm-pricing.html and comparison page, read 2026-10-04, annual billing</t>
        </is>
      </c>
      <c r="F114" s="12" t="inlineStr">
        <is>
          <t>High</t>
        </is>
      </c>
      <c r="G114" s="13" t="inlineStr"/>
    </row>
    <row r="115">
      <c r="A115" s="7" t="inlineStr">
        <is>
          <t>zc_edition</t>
        </is>
      </c>
      <c r="B115" s="8" t="inlineStr">
        <is>
          <t>Edition a tenant runs: 1 Professional, 2 Enterprise, 3 Ultimate</t>
        </is>
      </c>
      <c r="C115" s="9" t="n">
        <v>2</v>
      </c>
      <c r="D115" s="10" t="inlineStr">
        <is>
          <t>switch</t>
        </is>
      </c>
      <c r="E115" s="11" t="inlineStr">
        <is>
          <t>Nothing measured</t>
        </is>
      </c>
      <c r="F115" s="14" t="inlineStr">
        <is>
          <t>ASSUMPTION</t>
        </is>
      </c>
      <c r="G115" s="13" t="inlineStr">
        <is>
          <t>The first client's 53,000-credit allowance (seen 2026-10-01) fits Enterprise with 3 users.</t>
        </is>
      </c>
    </row>
    <row r="116">
      <c r="A116" s="7" t="inlineStr">
        <is>
          <t>zc_list</t>
        </is>
      </c>
      <c r="B116" s="8" t="inlineStr">
        <is>
          <t>Zoho CRM list price, selected edition</t>
        </is>
      </c>
      <c r="C116" s="21">
        <f>CHOOSE($C$115,$C$112,$C$113,$C$114)</f>
        <v/>
      </c>
      <c r="D116" s="10" t="inlineStr">
        <is>
          <t>$ / user / month</t>
        </is>
      </c>
      <c r="E116" s="11" t="inlineStr">
        <is>
          <t>Formula</t>
        </is>
      </c>
      <c r="F116" s="12" t="inlineStr"/>
      <c r="G116" s="13" t="inlineStr"/>
    </row>
    <row r="117">
      <c r="A117" s="7" t="inlineStr">
        <is>
          <t>api_base</t>
        </is>
      </c>
      <c r="B117" s="8" t="inlineStr">
        <is>
          <t>API credits a day, base</t>
        </is>
      </c>
      <c r="C117" s="9" t="n">
        <v>50000</v>
      </c>
      <c r="D117" s="10" t="inlineStr">
        <is>
          <t>credits</t>
        </is>
      </c>
      <c r="E117" s="11" t="inlineStr">
        <is>
          <t>zoho.com/crm/developer/docs/api/v8/api-limits.html, read 2026-10-04</t>
        </is>
      </c>
      <c r="F117" s="12" t="inlineStr">
        <is>
          <t>High</t>
        </is>
      </c>
      <c r="G117" s="13" t="inlineStr"/>
    </row>
    <row r="118">
      <c r="A118" s="7" t="inlineStr">
        <is>
          <t>api_user_pro</t>
        </is>
      </c>
      <c r="B118" s="8" t="inlineStr">
        <is>
          <t>API credits a day per user, Professional</t>
        </is>
      </c>
      <c r="C118" s="9" t="n">
        <v>500</v>
      </c>
      <c r="D118" s="10" t="inlineStr">
        <is>
          <t>credits</t>
        </is>
      </c>
      <c r="E118" s="11" t="inlineStr">
        <is>
          <t>zoho.com/crm/developer/docs/api/v8/api-limits.html, read 2026-10-04</t>
        </is>
      </c>
      <c r="F118" s="12" t="inlineStr">
        <is>
          <t>High</t>
        </is>
      </c>
      <c r="G118" s="13" t="inlineStr"/>
    </row>
    <row r="119">
      <c r="A119" s="7" t="inlineStr">
        <is>
          <t>api_user_ent</t>
        </is>
      </c>
      <c r="B119" s="8" t="inlineStr">
        <is>
          <t>API credits a day per user, Enterprise</t>
        </is>
      </c>
      <c r="C119" s="9" t="n">
        <v>1000</v>
      </c>
      <c r="D119" s="10" t="inlineStr">
        <is>
          <t>credits</t>
        </is>
      </c>
      <c r="E119" s="11" t="inlineStr">
        <is>
          <t>zoho.com/crm/developer/docs/api/v8/api-limits.html, read 2026-10-04</t>
        </is>
      </c>
      <c r="F119" s="12" t="inlineStr">
        <is>
          <t>High</t>
        </is>
      </c>
      <c r="G119" s="13" t="inlineStr"/>
    </row>
    <row r="120">
      <c r="A120" s="7" t="inlineStr">
        <is>
          <t>api_user_ult</t>
        </is>
      </c>
      <c r="B120" s="8" t="inlineStr">
        <is>
          <t>API credits a day per user, Ultimate</t>
        </is>
      </c>
      <c r="C120" s="9" t="n">
        <v>2000</v>
      </c>
      <c r="D120" s="10" t="inlineStr">
        <is>
          <t>credits</t>
        </is>
      </c>
      <c r="E120" s="11" t="inlineStr">
        <is>
          <t>zoho.com/crm/developer/docs/api/v8/api-limits.html, read 2026-10-04</t>
        </is>
      </c>
      <c r="F120" s="12" t="inlineStr">
        <is>
          <t>High</t>
        </is>
      </c>
      <c r="G120" s="13" t="inlineStr"/>
    </row>
    <row r="121">
      <c r="A121" s="7" t="inlineStr">
        <is>
          <t>api_allow</t>
        </is>
      </c>
      <c r="B121" s="8" t="inlineStr">
        <is>
          <t>API credits a day, tenant allowance</t>
        </is>
      </c>
      <c r="C121" s="15">
        <f>$C$117+CHOOSE($C$115,$C$118,$C$119,$C$120)*$C$41</f>
        <v/>
      </c>
      <c r="D121" s="10" t="inlineStr">
        <is>
          <t>credits</t>
        </is>
      </c>
      <c r="E121" s="11" t="inlineStr">
        <is>
          <t>Formula</t>
        </is>
      </c>
      <c r="F121" s="12" t="inlineStr"/>
      <c r="G121" s="13" t="inlineStr"/>
    </row>
    <row r="122">
      <c r="A122" s="7" t="inlineStr">
        <is>
          <t>credits_per_call</t>
        </is>
      </c>
      <c r="B122" s="8" t="inlineStr">
        <is>
          <t>API credits per logged call</t>
        </is>
      </c>
      <c r="C122" s="17" t="n">
        <v>4</v>
      </c>
      <c r="D122" s="10" t="inlineStr">
        <is>
          <t>credits</t>
        </is>
      </c>
      <c r="E122" s="11" t="inlineStr">
        <is>
          <t>Counted from the code: a search (1) and an insert (1), on two log paths. Weights from zoho.com/crm/developer/docs/api/v8/api-limits.html, read 2026-10-04</t>
        </is>
      </c>
      <c r="F122" s="12" t="inlineStr">
        <is>
          <t>Med</t>
        </is>
      </c>
      <c r="G122" s="13" t="inlineStr">
        <is>
          <t>2 if a call is only logged once.</t>
        </is>
      </c>
    </row>
    <row r="123">
      <c r="A123" s="7" t="inlineStr">
        <is>
          <t>zv_user</t>
        </is>
      </c>
      <c r="B123" s="8" t="inlineStr">
        <is>
          <t>Zoho Voice, per user</t>
        </is>
      </c>
      <c r="C123" s="18" t="n">
        <v>34</v>
      </c>
      <c r="D123" s="10" t="inlineStr">
        <is>
          <t>$ / user / month</t>
        </is>
      </c>
      <c r="E123" s="11" t="inlineStr">
        <is>
          <t>zoho.com/voice/pricing.html, read 2026-10-04</t>
        </is>
      </c>
      <c r="F123" s="12" t="inlineStr">
        <is>
          <t>High</t>
        </is>
      </c>
      <c r="G123" s="13" t="inlineStr">
        <is>
          <t>Enterprise Telephony Basic, annual billing, with unlimited US and Canada calling.</t>
        </is>
      </c>
    </row>
    <row r="124">
      <c r="A124" s="7" t="inlineStr">
        <is>
          <t>zv_power</t>
        </is>
      </c>
      <c r="B124" s="8" t="inlineStr">
        <is>
          <t>Zoho Voice power dialer add-on</t>
        </is>
      </c>
      <c r="C124" s="18" t="n">
        <v>10</v>
      </c>
      <c r="D124" s="10" t="inlineStr">
        <is>
          <t>$ / user / month</t>
        </is>
      </c>
      <c r="E124" s="11" t="inlineStr">
        <is>
          <t>zoho.com/voice/pricing.html, read 2026-10-04</t>
        </is>
      </c>
      <c r="F124" s="12" t="inlineStr">
        <is>
          <t>High</t>
        </is>
      </c>
      <c r="G124" s="13" t="inlineStr"/>
    </row>
    <row r="125">
      <c r="A125" s="7" t="inlineStr">
        <is>
          <t>zv_auto</t>
        </is>
      </c>
      <c r="B125" s="8" t="inlineStr">
        <is>
          <t>Zoho Voice auto dialer</t>
        </is>
      </c>
      <c r="C125" s="18" t="n">
        <v>10</v>
      </c>
      <c r="D125" s="10" t="inlineStr">
        <is>
          <t>$ / user / month</t>
        </is>
      </c>
      <c r="E125" s="11" t="inlineStr">
        <is>
          <t>Zoho publishes no auto dialer (progressive or predictive) price</t>
        </is>
      </c>
      <c r="F125" s="14" t="inlineStr">
        <is>
          <t>ASSUMPTION</t>
        </is>
      </c>
      <c r="G125" s="13" t="inlineStr">
        <is>
          <t>Set to the power dialer add-on, the nearest listed item.</t>
        </is>
      </c>
    </row>
    <row r="126">
      <c r="A126" s="7" t="inlineStr">
        <is>
          <t>zma_plan</t>
        </is>
      </c>
      <c r="B126" s="8" t="inlineStr">
        <is>
          <t>Zoho Marketing Automation plan</t>
        </is>
      </c>
      <c r="C126" s="18" t="n">
        <v>33</v>
      </c>
      <c r="D126" s="10" t="inlineStr">
        <is>
          <t>$ / month</t>
        </is>
      </c>
      <c r="E126" s="11" t="inlineStr">
        <is>
          <t>zoho.com/marketingautomation/pricing.html and sms-pricing.html, read 2026-10-04</t>
        </is>
      </c>
      <c r="F126" s="12" t="inlineStr">
        <is>
          <t>High</t>
        </is>
      </c>
      <c r="G126" s="13" t="inlineStr">
        <is>
          <t>Standard, 5,000 contacts, annual billing.</t>
        </is>
      </c>
    </row>
    <row r="127">
      <c r="A127" s="7" t="inlineStr">
        <is>
          <t>zma_sms</t>
        </is>
      </c>
      <c r="B127" s="8" t="inlineStr">
        <is>
          <t>Zoho Marketing Automation, per US text</t>
        </is>
      </c>
      <c r="C127" s="20" t="n">
        <v>0.012</v>
      </c>
      <c r="D127" s="10" t="inlineStr">
        <is>
          <t>$ / text</t>
        </is>
      </c>
      <c r="E127" s="11" t="inlineStr">
        <is>
          <t>zoho.com/marketingautomation/pricing.html and sms-pricing.html, read 2026-10-04</t>
        </is>
      </c>
      <c r="F127" s="12" t="inlineStr">
        <is>
          <t>Med</t>
        </is>
      </c>
      <c r="G127" s="13" t="inlineStr">
        <is>
          <t>Derived from the vendor calculator: 4 credits a text. $0.0096 on large credit packs.</t>
        </is>
      </c>
    </row>
    <row r="128">
      <c r="A128" s="7" t="inlineStr">
        <is>
          <t>zma_fixed</t>
        </is>
      </c>
      <c r="B128" s="8" t="inlineStr">
        <is>
          <t>Zoho Marketing Automation, number and 10DLC campaign</t>
        </is>
      </c>
      <c r="C128" s="18" t="n">
        <v>11</v>
      </c>
      <c r="D128" s="10" t="inlineStr">
        <is>
          <t>$ / month</t>
        </is>
      </c>
      <c r="E128" s="11" t="inlineStr">
        <is>
          <t>zoho.com/marketingautomation/pricing.html and sms-pricing.html, read 2026-10-04</t>
        </is>
      </c>
      <c r="F128" s="12" t="inlineStr">
        <is>
          <t>High</t>
        </is>
      </c>
      <c r="G128" s="13" t="inlineStr">
        <is>
          <t>$1 long code plus $10 campaign fee.</t>
        </is>
      </c>
    </row>
    <row r="130">
      <c r="A130" s="5" t="inlineStr">
        <is>
          <t>AI model</t>
        </is>
      </c>
      <c r="B130" s="6" t="n"/>
      <c r="C130" s="6" t="n"/>
      <c r="D130" s="6" t="n"/>
      <c r="E130" s="6" t="n"/>
      <c r="F130" s="6" t="n"/>
      <c r="G130" s="6" t="n"/>
    </row>
    <row r="131">
      <c r="A131" s="7" t="inlineStr">
        <is>
          <t>llm_in</t>
        </is>
      </c>
      <c r="B131" s="8" t="inlineStr">
        <is>
          <t>Input tokens</t>
        </is>
      </c>
      <c r="C131" s="18" t="n">
        <v>4</v>
      </c>
      <c r="D131" s="10" t="inlineStr">
        <is>
          <t>$ / million tokens</t>
        </is>
      </c>
      <c r="E131" s="11" t="inlineStr">
        <is>
          <t>platform.claude.com/docs/en/about-claude/pricing, read 2026-10-04</t>
        </is>
      </c>
      <c r="F131" s="12" t="inlineStr">
        <is>
          <t>High</t>
        </is>
      </c>
      <c r="G131" s="13" t="inlineStr">
        <is>
          <t>The top-tier model, which the appointment-setting replies use (src/lib/appointment-setter.ts in the client site). The qualification step uses the small model at $1.</t>
        </is>
      </c>
    </row>
    <row r="132">
      <c r="A132" s="7" t="inlineStr">
        <is>
          <t>llm_out</t>
        </is>
      </c>
      <c r="B132" s="8" t="inlineStr">
        <is>
          <t>Output tokens</t>
        </is>
      </c>
      <c r="C132" s="18" t="n">
        <v>20</v>
      </c>
      <c r="D132" s="10" t="inlineStr">
        <is>
          <t>$ / million tokens</t>
        </is>
      </c>
      <c r="E132" s="11" t="inlineStr">
        <is>
          <t>platform.claude.com/docs/en/about-claude/pricing, read 2026-10-04</t>
        </is>
      </c>
      <c r="F132" s="12" t="inlineStr">
        <is>
          <t>High</t>
        </is>
      </c>
      <c r="G132" s="13" t="inlineStr">
        <is>
          <t>The small model is $5.</t>
        </is>
      </c>
    </row>
    <row r="134">
      <c r="A134" s="5" t="inlineStr">
        <is>
          <t>Hosting today: Laravel Forge and AWS EC2</t>
        </is>
      </c>
      <c r="B134" s="6" t="n"/>
      <c r="C134" s="6" t="n"/>
      <c r="D134" s="6" t="n"/>
      <c r="E134" s="6" t="n"/>
      <c r="F134" s="6" t="n"/>
      <c r="G134" s="6" t="n"/>
    </row>
    <row r="135">
      <c r="A135" s="7" t="inlineStr">
        <is>
          <t>forge_plan</t>
        </is>
      </c>
      <c r="B135" s="8" t="inlineStr">
        <is>
          <t>Forge subscription</t>
        </is>
      </c>
      <c r="C135" s="18" t="n">
        <v>19</v>
      </c>
      <c r="D135" s="10" t="inlineStr">
        <is>
          <t>$ / month</t>
        </is>
      </c>
      <c r="E135" s="11" t="inlineStr">
        <is>
          <t>laravel.com/forge/pricing, read 2026-10-04</t>
        </is>
      </c>
      <c r="F135" s="14" t="inlineStr">
        <is>
          <t>ASSUMPTION</t>
        </is>
      </c>
      <c r="G135" s="13" t="inlineStr">
        <is>
          <t>Prices are published (Hobby $12, Growth $19, Business $39). Which plan Kore is on is not known.</t>
        </is>
      </c>
    </row>
    <row r="136">
      <c r="A136" s="7" t="inlineStr">
        <is>
          <t>ec2_inst</t>
        </is>
      </c>
      <c r="B136" s="8" t="inlineStr">
        <is>
          <t>EC2 instance</t>
        </is>
      </c>
      <c r="C136" s="18" t="n">
        <v>30.37</v>
      </c>
      <c r="D136" s="10" t="inlineStr">
        <is>
          <t>$ / month</t>
        </is>
      </c>
      <c r="E136" s="11" t="inlineStr">
        <is>
          <t>AWS price feed for us-east-1 (published 2026-09-25), read 2026-10-04</t>
        </is>
      </c>
      <c r="F136" s="14" t="inlineStr">
        <is>
          <t>ASSUMPTION</t>
        </is>
      </c>
      <c r="G136" s="13" t="inlineStr">
        <is>
          <t>t3.medium at 730 hours. The instance type of dk-services is not known (t3.small $15.18, t3.large $60.74).</t>
        </is>
      </c>
    </row>
    <row r="137">
      <c r="A137" s="7" t="inlineStr">
        <is>
          <t>ebs_gb</t>
        </is>
      </c>
      <c r="B137" s="8" t="inlineStr">
        <is>
          <t>Disk</t>
        </is>
      </c>
      <c r="C137" s="9" t="n">
        <v>30</v>
      </c>
      <c r="D137" s="10" t="inlineStr">
        <is>
          <t>GB</t>
        </is>
      </c>
      <c r="E137" s="11" t="inlineStr">
        <is>
          <t>Nothing measured</t>
        </is>
      </c>
      <c r="F137" s="14" t="inlineStr">
        <is>
          <t>ASSUMPTION</t>
        </is>
      </c>
      <c r="G137" s="13" t="inlineStr"/>
    </row>
    <row r="138">
      <c r="A138" s="7" t="inlineStr">
        <is>
          <t>ebs_price</t>
        </is>
      </c>
      <c r="B138" s="8" t="inlineStr">
        <is>
          <t>Disk price (gp3)</t>
        </is>
      </c>
      <c r="C138" s="20" t="n">
        <v>0.08</v>
      </c>
      <c r="D138" s="10" t="inlineStr">
        <is>
          <t>$ / GB / month</t>
        </is>
      </c>
      <c r="E138" s="11" t="inlineStr">
        <is>
          <t>AWS price feed for us-east-1 (published 2026-09-25), read 2026-10-04</t>
        </is>
      </c>
      <c r="F138" s="12" t="inlineStr">
        <is>
          <t>High</t>
        </is>
      </c>
      <c r="G138" s="13" t="inlineStr"/>
    </row>
    <row r="139">
      <c r="A139" s="7" t="inlineStr">
        <is>
          <t>ip_addr</t>
        </is>
      </c>
      <c r="B139" s="8" t="inlineStr">
        <is>
          <t>Public IPv4 address</t>
        </is>
      </c>
      <c r="C139" s="18" t="n">
        <v>3.65</v>
      </c>
      <c r="D139" s="10" t="inlineStr">
        <is>
          <t>$ / month</t>
        </is>
      </c>
      <c r="E139" s="11" t="inlineStr">
        <is>
          <t>AWS price feed for us-east-1 (published 2026-09-25), read 2026-10-04</t>
        </is>
      </c>
      <c r="F139" s="12" t="inlineStr">
        <is>
          <t>High</t>
        </is>
      </c>
      <c r="G139" s="13" t="inlineStr"/>
    </row>
    <row r="140">
      <c r="A140" s="7" t="inlineStr">
        <is>
          <t>host_alloc</t>
        </is>
      </c>
      <c r="B140" s="8" t="inlineStr">
        <is>
          <t>Share of the shared server charged to HaulOS</t>
        </is>
      </c>
      <c r="C140" s="16" t="n">
        <v>0.5</v>
      </c>
      <c r="D140" s="10" t="inlineStr">
        <is>
          <t>%</t>
        </is>
      </c>
      <c r="E140" s="11" t="inlineStr">
        <is>
          <t>Nothing measured</t>
        </is>
      </c>
      <c r="F140" s="14" t="inlineStr">
        <is>
          <t>ASSUMPTION</t>
        </is>
      </c>
      <c r="G140" s="13" t="inlineStr"/>
    </row>
    <row r="141">
      <c r="A141" s="7" t="inlineStr">
        <is>
          <t>cap_srv</t>
        </is>
      </c>
      <c r="B141" s="8" t="inlineStr">
        <is>
          <t>Tenants one server carries</t>
        </is>
      </c>
      <c r="C141" s="9" t="n">
        <v>50</v>
      </c>
      <c r="D141" s="10" t="inlineStr">
        <is>
          <t>tenants</t>
        </is>
      </c>
      <c r="E141" s="11" t="inlineStr">
        <is>
          <t>Nothing measured</t>
        </is>
      </c>
      <c r="F141" s="14" t="inlineStr">
        <is>
          <t>ASSUMPTION</t>
        </is>
      </c>
      <c r="G141" s="13" t="inlineStr"/>
    </row>
    <row r="143">
      <c r="A143" s="5" t="inlineStr">
        <is>
          <t>Hosting at scale: Azure</t>
        </is>
      </c>
      <c r="B143" s="6" t="n"/>
      <c r="C143" s="6" t="n"/>
      <c r="D143" s="6" t="n"/>
      <c r="E143" s="6" t="n"/>
      <c r="F143" s="6" t="n"/>
      <c r="G143" s="6" t="n"/>
    </row>
    <row r="144">
      <c r="A144" s="7" t="inlineStr">
        <is>
          <t>az_plan</t>
        </is>
      </c>
      <c r="B144" s="8" t="inlineStr">
        <is>
          <t>App Service instance</t>
        </is>
      </c>
      <c r="C144" s="18" t="n">
        <v>24.82</v>
      </c>
      <c r="D144" s="10" t="inlineStr">
        <is>
          <t>$ / month</t>
        </is>
      </c>
      <c r="E144" s="11" t="inlineStr">
        <is>
          <t>azure.microsoft.com pricing pages, East US, read 2026-10-04</t>
        </is>
      </c>
      <c r="F144" s="12" t="inlineStr">
        <is>
          <t>High</t>
        </is>
      </c>
      <c r="G144" s="13" t="inlineStr">
        <is>
          <t>Linux B2 (2 cores, 3.5 GB). Basic has no autoscale or deployment slots. P1v3 is $113.15.</t>
        </is>
      </c>
    </row>
    <row r="145">
      <c r="A145" s="7" t="inlineStr">
        <is>
          <t>az_min</t>
        </is>
      </c>
      <c r="B145" s="8" t="inlineStr">
        <is>
          <t>Instances, minimum</t>
        </is>
      </c>
      <c r="C145" s="9" t="n">
        <v>1</v>
      </c>
      <c r="D145" s="10" t="inlineStr">
        <is>
          <t>instances</t>
        </is>
      </c>
      <c r="E145" s="11" t="inlineStr">
        <is>
          <t>Nothing measured</t>
        </is>
      </c>
      <c r="F145" s="14" t="inlineStr">
        <is>
          <t>ASSUMPTION</t>
        </is>
      </c>
      <c r="G145" s="13" t="inlineStr"/>
    </row>
    <row r="146">
      <c r="A146" s="7" t="inlineStr">
        <is>
          <t>az_cap</t>
        </is>
      </c>
      <c r="B146" s="8" t="inlineStr">
        <is>
          <t>Tenants one instance carries</t>
        </is>
      </c>
      <c r="C146" s="9" t="n">
        <v>100</v>
      </c>
      <c r="D146" s="10" t="inlineStr">
        <is>
          <t>tenants</t>
        </is>
      </c>
      <c r="E146" s="11" t="inlineStr">
        <is>
          <t>Nothing measured</t>
        </is>
      </c>
      <c r="F146" s="14" t="inlineStr">
        <is>
          <t>ASSUMPTION</t>
        </is>
      </c>
      <c r="G146" s="13" t="inlineStr"/>
    </row>
    <row r="147">
      <c r="A147" s="7" t="inlineStr">
        <is>
          <t>kv_price</t>
        </is>
      </c>
      <c r="B147" s="8" t="inlineStr">
        <is>
          <t>Key Vault operations</t>
        </is>
      </c>
      <c r="C147" s="20" t="n">
        <v>0.03</v>
      </c>
      <c r="D147" s="10" t="inlineStr">
        <is>
          <t>$ / 10,000</t>
        </is>
      </c>
      <c r="E147" s="11" t="inlineStr">
        <is>
          <t>azure.microsoft.com pricing pages, East US, read 2026-10-04</t>
        </is>
      </c>
      <c r="F147" s="12" t="inlineStr">
        <is>
          <t>High</t>
        </is>
      </c>
      <c r="G147" s="13" t="inlineStr"/>
    </row>
    <row r="148">
      <c r="A148" s="7" t="inlineStr">
        <is>
          <t>kv_ops</t>
        </is>
      </c>
      <c r="B148" s="8" t="inlineStr">
        <is>
          <t>Key Vault operations per tenant per month</t>
        </is>
      </c>
      <c r="C148" s="9" t="n">
        <v>20000</v>
      </c>
      <c r="D148" s="10" t="inlineStr">
        <is>
          <t>operations</t>
        </is>
      </c>
      <c r="E148" s="11" t="inlineStr">
        <is>
          <t>Nothing measured</t>
        </is>
      </c>
      <c r="F148" s="14" t="inlineStr">
        <is>
          <t>ASSUMPTION</t>
        </is>
      </c>
      <c r="G148" s="13" t="inlineStr"/>
    </row>
    <row r="149">
      <c r="A149" s="7" t="inlineStr">
        <is>
          <t>blob_price</t>
        </is>
      </c>
      <c r="B149" s="8" t="inlineStr">
        <is>
          <t>Blob Storage, hot</t>
        </is>
      </c>
      <c r="C149" s="20" t="n">
        <v>0.0208</v>
      </c>
      <c r="D149" s="10" t="inlineStr">
        <is>
          <t>$ / GB / month</t>
        </is>
      </c>
      <c r="E149" s="11" t="inlineStr">
        <is>
          <t>azure.microsoft.com pricing pages, East US, read 2026-10-04</t>
        </is>
      </c>
      <c r="F149" s="12" t="inlineStr">
        <is>
          <t>High</t>
        </is>
      </c>
      <c r="G149" s="13" t="inlineStr"/>
    </row>
    <row r="150">
      <c r="A150" s="7" t="inlineStr">
        <is>
          <t>blob_gb</t>
        </is>
      </c>
      <c r="B150" s="8" t="inlineStr">
        <is>
          <t>Blob Storage per tenant</t>
        </is>
      </c>
      <c r="C150" s="17" t="n">
        <v>2</v>
      </c>
      <c r="D150" s="10" t="inlineStr">
        <is>
          <t>GB</t>
        </is>
      </c>
      <c r="E150" s="11" t="inlineStr">
        <is>
          <t>Nothing measured</t>
        </is>
      </c>
      <c r="F150" s="14" t="inlineStr">
        <is>
          <t>ASSUMPTION</t>
        </is>
      </c>
      <c r="G150" s="13" t="inlineStr"/>
    </row>
    <row r="151">
      <c r="A151" s="7" t="inlineStr">
        <is>
          <t>tbl_price</t>
        </is>
      </c>
      <c r="B151" s="8" t="inlineStr">
        <is>
          <t>Table Storage</t>
        </is>
      </c>
      <c r="C151" s="20" t="n">
        <v>0.045</v>
      </c>
      <c r="D151" s="10" t="inlineStr">
        <is>
          <t>$ / GB / month</t>
        </is>
      </c>
      <c r="E151" s="11" t="inlineStr">
        <is>
          <t>azure.microsoft.com pricing pages, East US, read 2026-10-04</t>
        </is>
      </c>
      <c r="F151" s="12" t="inlineStr">
        <is>
          <t>High</t>
        </is>
      </c>
      <c r="G151" s="13" t="inlineStr"/>
    </row>
    <row r="152">
      <c r="A152" s="7" t="inlineStr">
        <is>
          <t>tbl_gb</t>
        </is>
      </c>
      <c r="B152" s="8" t="inlineStr">
        <is>
          <t>Table Storage per tenant</t>
        </is>
      </c>
      <c r="C152" s="17" t="n">
        <v>0.5</v>
      </c>
      <c r="D152" s="10" t="inlineStr">
        <is>
          <t>GB</t>
        </is>
      </c>
      <c r="E152" s="11" t="inlineStr">
        <is>
          <t>Nothing measured</t>
        </is>
      </c>
      <c r="F152" s="14" t="inlineStr">
        <is>
          <t>ASSUMPTION</t>
        </is>
      </c>
      <c r="G152" s="13" t="inlineStr"/>
    </row>
    <row r="153">
      <c r="A153" s="7" t="inlineStr">
        <is>
          <t>tbl_txn_price</t>
        </is>
      </c>
      <c r="B153" s="8" t="inlineStr">
        <is>
          <t>Table Storage transactions</t>
        </is>
      </c>
      <c r="C153" s="22" t="n">
        <v>0.00036</v>
      </c>
      <c r="D153" s="10" t="inlineStr">
        <is>
          <t>$ / 10,000</t>
        </is>
      </c>
      <c r="E153" s="11" t="inlineStr">
        <is>
          <t>azure.microsoft.com pricing pages, East US, read 2026-10-04</t>
        </is>
      </c>
      <c r="F153" s="12" t="inlineStr">
        <is>
          <t>High</t>
        </is>
      </c>
      <c r="G153" s="13" t="inlineStr"/>
    </row>
    <row r="154">
      <c r="A154" s="7" t="inlineStr">
        <is>
          <t>tbl_txn</t>
        </is>
      </c>
      <c r="B154" s="8" t="inlineStr">
        <is>
          <t>Table transactions per tenant per month</t>
        </is>
      </c>
      <c r="C154" s="9" t="n">
        <v>200000</v>
      </c>
      <c r="D154" s="10" t="inlineStr">
        <is>
          <t>transactions</t>
        </is>
      </c>
      <c r="E154" s="11" t="inlineStr">
        <is>
          <t>Nothing measured</t>
        </is>
      </c>
      <c r="F154" s="14" t="inlineStr">
        <is>
          <t>ASSUMPTION</t>
        </is>
      </c>
      <c r="G154" s="13" t="inlineStr"/>
    </row>
    <row r="155">
      <c r="A155" s="7" t="inlineStr">
        <is>
          <t>host_mode</t>
        </is>
      </c>
      <c r="B155" s="8" t="inlineStr">
        <is>
          <t>Hosting: 1 Forge and AWS, 2 Azure, 3 Azure once tenants reach the number below</t>
        </is>
      </c>
      <c r="C155" s="9" t="n">
        <v>1</v>
      </c>
      <c r="D155" s="10" t="inlineStr">
        <is>
          <t>switch</t>
        </is>
      </c>
      <c r="E155" s="11" t="inlineStr">
        <is>
          <t>Choice</t>
        </is>
      </c>
      <c r="F155" s="14" t="inlineStr">
        <is>
          <t>ASSUMPTION</t>
        </is>
      </c>
      <c r="G155" s="13" t="inlineStr"/>
    </row>
    <row r="156">
      <c r="A156" s="7" t="inlineStr">
        <is>
          <t>host_switch_n</t>
        </is>
      </c>
      <c r="B156" s="8" t="inlineStr">
        <is>
          <t>Tenant count that triggers the move to Azure</t>
        </is>
      </c>
      <c r="C156" s="9" t="n">
        <v>25</v>
      </c>
      <c r="D156" s="10" t="inlineStr">
        <is>
          <t>tenants</t>
        </is>
      </c>
      <c r="E156" s="11" t="inlineStr">
        <is>
          <t>Nothing measured</t>
        </is>
      </c>
      <c r="F156" s="14" t="inlineStr">
        <is>
          <t>ASSUMPTION</t>
        </is>
      </c>
      <c r="G156" s="13" t="inlineStr"/>
    </row>
    <row r="158">
      <c r="A158" s="5" t="inlineStr">
        <is>
          <t>Client site (Netlify) and GitHub</t>
        </is>
      </c>
      <c r="B158" s="6" t="n"/>
      <c r="C158" s="6" t="n"/>
      <c r="D158" s="6" t="n"/>
      <c r="E158" s="6" t="n"/>
      <c r="F158" s="6" t="n"/>
      <c r="G158" s="6" t="n"/>
    </row>
    <row r="159">
      <c r="A159" s="7" t="inlineStr">
        <is>
          <t>nf_site</t>
        </is>
      </c>
      <c r="B159" s="8" t="inlineStr">
        <is>
          <t>Each tenant gets a hosted site and portal: 1 yes, 0 no</t>
        </is>
      </c>
      <c r="C159" s="9" t="n">
        <v>1</v>
      </c>
      <c r="D159" s="10" t="inlineStr">
        <is>
          <t>switch</t>
        </is>
      </c>
      <c r="E159" s="11" t="inlineStr">
        <is>
          <t>Nothing measured</t>
        </is>
      </c>
      <c r="F159" s="14" t="inlineStr">
        <is>
          <t>ASSUMPTION</t>
        </is>
      </c>
      <c r="G159" s="13" t="inlineStr"/>
    </row>
    <row r="160">
      <c r="A160" s="7" t="inlineStr">
        <is>
          <t>nf_plan</t>
        </is>
      </c>
      <c r="B160" s="8" t="inlineStr">
        <is>
          <t>Netlify Pro</t>
        </is>
      </c>
      <c r="C160" s="18" t="n">
        <v>20</v>
      </c>
      <c r="D160" s="10" t="inlineStr">
        <is>
          <t>$ / month</t>
        </is>
      </c>
      <c r="E160" s="11" t="inlineStr">
        <is>
          <t>netlify.com/pricing and billing docs, read 2026-10-04</t>
        </is>
      </c>
      <c r="F160" s="12" t="inlineStr">
        <is>
          <t>High</t>
        </is>
      </c>
      <c r="G160" s="13" t="inlineStr">
        <is>
          <t>Flat, shared by every site.</t>
        </is>
      </c>
    </row>
    <row r="161">
      <c r="A161" s="7" t="inlineStr">
        <is>
          <t>nf_incl</t>
        </is>
      </c>
      <c r="B161" s="8" t="inlineStr">
        <is>
          <t>Credits included</t>
        </is>
      </c>
      <c r="C161" s="9" t="n">
        <v>3000</v>
      </c>
      <c r="D161" s="10" t="inlineStr">
        <is>
          <t>credits / month</t>
        </is>
      </c>
      <c r="E161" s="11" t="inlineStr">
        <is>
          <t>netlify.com/pricing and billing docs, read 2026-10-04</t>
        </is>
      </c>
      <c r="F161" s="12" t="inlineStr">
        <is>
          <t>High</t>
        </is>
      </c>
      <c r="G161" s="13" t="inlineStr"/>
    </row>
    <row r="162">
      <c r="A162" s="7" t="inlineStr">
        <is>
          <t>nf_credit</t>
        </is>
      </c>
      <c r="B162" s="8" t="inlineStr">
        <is>
          <t>Extra credits</t>
        </is>
      </c>
      <c r="C162" s="22" t="n">
        <v>0.006667</v>
      </c>
      <c r="D162" s="10" t="inlineStr">
        <is>
          <t>$ / credit</t>
        </is>
      </c>
      <c r="E162" s="11" t="inlineStr">
        <is>
          <t>netlify.com/pricing and billing docs, read 2026-10-04</t>
        </is>
      </c>
      <c r="F162" s="12" t="inlineStr">
        <is>
          <t>High</t>
        </is>
      </c>
      <c r="G162" s="13" t="inlineStr">
        <is>
          <t>$10 per 1,500.</t>
        </is>
      </c>
    </row>
    <row r="163">
      <c r="A163" s="7" t="inlineStr">
        <is>
          <t>nf_credits</t>
        </is>
      </c>
      <c r="B163" s="8" t="inlineStr">
        <is>
          <t>Credits one tenant site uses</t>
        </is>
      </c>
      <c r="C163" s="9" t="n">
        <v>9000</v>
      </c>
      <c r="D163" s="10" t="inlineStr">
        <is>
          <t>credits / month</t>
        </is>
      </c>
      <c r="E163" s="11" t="inlineStr">
        <is>
          <t>Prior observation, 2026-10-01: the Kore team used about 9,000 a month</t>
        </is>
      </c>
      <c r="F163" s="12" t="inlineStr">
        <is>
          <t>Med</t>
        </is>
      </c>
      <c r="G163" s="13" t="inlineStr">
        <is>
          <t>About 80% was a database kept awake by every-minute schedules. Tenants sharing one database would cut this.</t>
        </is>
      </c>
    </row>
    <row r="164">
      <c r="A164" s="7" t="inlineStr">
        <is>
          <t>gh_seat</t>
        </is>
      </c>
      <c r="B164" s="8" t="inlineStr">
        <is>
          <t>GitHub plan</t>
        </is>
      </c>
      <c r="C164" s="18" t="n">
        <v>0</v>
      </c>
      <c r="D164" s="10" t="inlineStr">
        <is>
          <t>$ / user / month</t>
        </is>
      </c>
      <c r="E164" s="11" t="inlineStr">
        <is>
          <t>Org plan read 2026-10-04: Free</t>
        </is>
      </c>
      <c r="F164" s="12" t="inlineStr">
        <is>
          <t>High</t>
        </is>
      </c>
      <c r="G164" s="13" t="inlineStr">
        <is>
          <t>Team is $4 a user.</t>
        </is>
      </c>
    </row>
    <row r="165">
      <c r="A165" s="7" t="inlineStr">
        <is>
          <t>gh_seats</t>
        </is>
      </c>
      <c r="B165" s="8" t="inlineStr">
        <is>
          <t>GitHub seats</t>
        </is>
      </c>
      <c r="C165" s="9" t="n">
        <v>1</v>
      </c>
      <c r="D165" s="10" t="inlineStr">
        <is>
          <t>users</t>
        </is>
      </c>
      <c r="E165" s="11" t="inlineStr">
        <is>
          <t>Org read 2026-10-04</t>
        </is>
      </c>
      <c r="F165" s="12" t="inlineStr">
        <is>
          <t>High</t>
        </is>
      </c>
      <c r="G165" s="13" t="inlineStr"/>
    </row>
    <row r="167">
      <c r="A167" s="5" t="inlineStr">
        <is>
          <t>Lead lines on Twilio (part of the platform)</t>
        </is>
      </c>
      <c r="B167" s="6" t="n"/>
      <c r="C167" s="6" t="n"/>
      <c r="D167" s="6" t="n"/>
      <c r="E167" s="6" t="n"/>
      <c r="F167" s="6" t="n"/>
      <c r="G167" s="6" t="n"/>
    </row>
    <row r="168">
      <c r="A168" s="7" t="inlineStr">
        <is>
          <t>pl_twilio</t>
        </is>
      </c>
      <c r="B168" s="8" t="inlineStr">
        <is>
          <t>Lead-line calls, call insights and voice prompts</t>
        </is>
      </c>
      <c r="C168" s="18" t="n">
        <v>0</v>
      </c>
      <c r="D168" s="10" t="inlineStr">
        <is>
          <t>$ / tenant / month</t>
        </is>
      </c>
      <c r="E168" s="11" t="inlineStr">
        <is>
          <t>Not costed: needs the usage on the client site's Twilio account</t>
        </is>
      </c>
      <c r="F168" s="14" t="inlineStr">
        <is>
          <t>ASSUMPTION</t>
        </is>
      </c>
      <c r="G168" s="13" t="inlineStr">
        <is>
          <t>The client site routes inbound lead calls on Twilio (Studio flow, voicemail functions), reads a Voice Insights summary for each call and speaks prompts with a text-to-speech voice. All three are billed. Zero is a placeholder, not a finding.</t>
        </is>
      </c>
    </row>
    <row r="169">
      <c r="A169" s="7" t="inlineStr">
        <is>
          <t>pl_numbers</t>
        </is>
      </c>
      <c r="B169" s="8" t="inlineStr">
        <is>
          <t>Lead-line numbers</t>
        </is>
      </c>
      <c r="C169" s="18" t="n">
        <v>0</v>
      </c>
      <c r="D169" s="10" t="inlineStr">
        <is>
          <t>$ / tenant / month</t>
        </is>
      </c>
      <c r="E169" s="11" t="inlineStr">
        <is>
          <t>Not costed: needs the number count on the client site's Twilio account</t>
        </is>
      </c>
      <c r="F169" s="14" t="inlineStr">
        <is>
          <t>ASSUMPTION</t>
        </is>
      </c>
      <c r="G169" s="13" t="inlineStr">
        <is>
          <t>A local number is $1.15 a month and a toll-free number $2.15.</t>
        </is>
      </c>
    </row>
    <row r="171">
      <c r="A171" s="5" t="inlineStr">
        <is>
          <t>Compliance module</t>
        </is>
      </c>
      <c r="B171" s="6" t="n"/>
      <c r="C171" s="6" t="n"/>
      <c r="D171" s="6" t="n"/>
      <c r="E171" s="6" t="n"/>
      <c r="F171" s="6" t="n"/>
      <c r="G171" s="6" t="n"/>
    </row>
    <row r="172">
      <c r="A172" s="7" t="inlineStr">
        <is>
          <t>comp_cogs</t>
        </is>
      </c>
      <c r="B172" s="8" t="inlineStr">
        <is>
          <t>Cost to serve</t>
        </is>
      </c>
      <c r="C172" s="18" t="n">
        <v>1</v>
      </c>
      <c r="D172" s="10" t="inlineStr">
        <is>
          <t>$ / tenant / month</t>
        </is>
      </c>
      <c r="E172" s="11" t="inlineStr">
        <is>
          <t>Nothing measured</t>
        </is>
      </c>
      <c r="F172" s="14" t="inlineStr">
        <is>
          <t>ASSUMPTION</t>
        </is>
      </c>
      <c r="G172" s="13" t="inlineStr">
        <is>
          <t>Software only: storing and delivering signed receipts and disclosures.</t>
        </is>
      </c>
    </row>
  </sheetData>
  <pageMargins left="0.75" right="0.75" top="1" bottom="1" header="0.5" footer="0.5"/>
</worksheet>
</file>

<file path=xl/worksheets/sheet2.xml><?xml version="1.0" encoding="utf-8"?>
<worksheet xmlns="http://schemas.openxmlformats.org/spreadsheetml/2006/main">
  <sheetPr>
    <tabColor rgb="008051FF"/>
    <outlinePr summaryBelow="1" summaryRight="1"/>
    <pageSetUpPr/>
  </sheetPr>
  <dimension ref="A1:AR4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2" customWidth="1" min="3" max="3"/>
    <col width="1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s>
  <sheetData>
    <row r="1" ht="22" customHeight="1">
      <c r="A1" s="1" t="inlineStr">
        <is>
          <t>Usage actuals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row>
    <row r="2">
      <c r="A2" s="3" t="inlineStr">
        <is>
          <t>From inputs/usage-actuals.json, pulled 2026-10-05T02:27:33Z, window 2026-07-01 to 2026-10-04. A blank cell is a null: not retrieved, not zero.</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row>
    <row r="4">
      <c r="A4" s="23" t="inlineStr">
        <is>
          <t>Include = 1 counts the row in the per-seat figures. Development, sandbox and part-months start at 0. Set a ramp-up month to 0 to leave it out.</t>
        </is>
      </c>
    </row>
    <row r="5">
      <c r="E5" s="7" t="inlineStr">
        <is>
          <t>voice</t>
        </is>
      </c>
      <c r="F5" s="7" t="inlineStr">
        <is>
          <t>voice</t>
        </is>
      </c>
      <c r="G5" s="7" t="inlineStr">
        <is>
          <t>voice</t>
        </is>
      </c>
      <c r="H5" s="7" t="inlineStr">
        <is>
          <t>voice</t>
        </is>
      </c>
      <c r="I5" s="7" t="inlineStr">
        <is>
          <t>voice</t>
        </is>
      </c>
      <c r="J5" s="7" t="inlineStr">
        <is>
          <t>voice</t>
        </is>
      </c>
      <c r="K5" s="7" t="inlineStr">
        <is>
          <t>voice</t>
        </is>
      </c>
      <c r="L5" s="7" t="inlineStr">
        <is>
          <t>voice</t>
        </is>
      </c>
      <c r="M5" s="7" t="inlineStr">
        <is>
          <t>voice</t>
        </is>
      </c>
      <c r="N5" s="7" t="inlineStr">
        <is>
          <t>voice</t>
        </is>
      </c>
      <c r="O5" s="7" t="inlineStr">
        <is>
          <t>voice</t>
        </is>
      </c>
      <c r="P5" s="7" t="inlineStr">
        <is>
          <t>voice</t>
        </is>
      </c>
      <c r="Q5" s="7" t="inlineStr">
        <is>
          <t>voice</t>
        </is>
      </c>
      <c r="R5" s="7" t="inlineStr">
        <is>
          <t>voice</t>
        </is>
      </c>
      <c r="S5" s="7" t="inlineStr">
        <is>
          <t>sms</t>
        </is>
      </c>
      <c r="T5" s="7" t="inlineStr">
        <is>
          <t>sms</t>
        </is>
      </c>
      <c r="U5" s="7" t="inlineStr">
        <is>
          <t>sms</t>
        </is>
      </c>
      <c r="V5" s="7" t="inlineStr">
        <is>
          <t>sms</t>
        </is>
      </c>
      <c r="W5" s="7" t="inlineStr">
        <is>
          <t>sms</t>
        </is>
      </c>
      <c r="X5" s="7" t="inlineStr">
        <is>
          <t>sms</t>
        </is>
      </c>
      <c r="Y5" s="7" t="inlineStr">
        <is>
          <t>sms</t>
        </is>
      </c>
      <c r="Z5" s="7" t="inlineStr">
        <is>
          <t>sms</t>
        </is>
      </c>
      <c r="AA5" s="7" t="inlineStr">
        <is>
          <t>zoho_crm</t>
        </is>
      </c>
      <c r="AB5" s="7" t="inlineStr">
        <is>
          <t>zoho_crm</t>
        </is>
      </c>
      <c r="AC5" s="7" t="inlineStr">
        <is>
          <t>zoho_crm</t>
        </is>
      </c>
      <c r="AD5" s="7" t="inlineStr">
        <is>
          <t>zoho_crm</t>
        </is>
      </c>
      <c r="AE5" s="7" t="inlineStr">
        <is>
          <t>zoho_crm</t>
        </is>
      </c>
      <c r="AF5" s="7" t="inlineStr">
        <is>
          <t>zoho_crm</t>
        </is>
      </c>
      <c r="AG5" s="7" t="inlineStr">
        <is>
          <t>zoho_marketing</t>
        </is>
      </c>
      <c r="AI5" s="7" t="inlineStr">
        <is>
          <t>derived</t>
        </is>
      </c>
      <c r="AJ5" s="7" t="inlineStr">
        <is>
          <t>derived</t>
        </is>
      </c>
      <c r="AK5" s="7" t="inlineStr">
        <is>
          <t>derived</t>
        </is>
      </c>
      <c r="AL5" s="7" t="inlineStr">
        <is>
          <t>derived</t>
        </is>
      </c>
      <c r="AM5" s="7" t="inlineStr">
        <is>
          <t>derived</t>
        </is>
      </c>
      <c r="AN5" s="7" t="inlineStr">
        <is>
          <t>derived</t>
        </is>
      </c>
      <c r="AO5" s="7" t="inlineStr">
        <is>
          <t>derived</t>
        </is>
      </c>
      <c r="AP5" s="7" t="inlineStr">
        <is>
          <t>derived</t>
        </is>
      </c>
      <c r="AQ5" s="7" t="inlineStr">
        <is>
          <t>derived</t>
        </is>
      </c>
    </row>
    <row r="6" ht="30" customHeight="1">
      <c r="A6" s="4" t="inlineStr">
        <is>
          <t>Tenant</t>
        </is>
      </c>
      <c r="B6" s="4" t="inlineStr">
        <is>
          <t>Environment</t>
        </is>
      </c>
      <c r="C6" s="4" t="inlineStr">
        <is>
          <t>Month</t>
        </is>
      </c>
      <c r="D6" s="4" t="inlineStr">
        <is>
          <t>Include</t>
        </is>
      </c>
      <c r="E6" s="4" t="inlineStr">
        <is>
          <t>calls_out</t>
        </is>
      </c>
      <c r="F6" s="4" t="inlineStr">
        <is>
          <t>calls_in</t>
        </is>
      </c>
      <c r="G6" s="4" t="inlineStr">
        <is>
          <t>connected_calls</t>
        </is>
      </c>
      <c r="H6" s="4" t="inlineStr">
        <is>
          <t>avg_duration_sec</t>
        </is>
      </c>
      <c r="I6" s="4" t="inlineStr">
        <is>
          <t>median_duration_sec</t>
        </is>
      </c>
      <c r="J6" s="4" t="inlineStr">
        <is>
          <t>billed_min_total</t>
        </is>
      </c>
      <c r="K6" s="4" t="inlineStr">
        <is>
          <t>billed_min_pstn_out</t>
        </is>
      </c>
      <c r="L6" s="4" t="inlineStr">
        <is>
          <t>billed_min_pstn_in</t>
        </is>
      </c>
      <c r="M6" s="4" t="inlineStr">
        <is>
          <t>billed_min_browser_leg</t>
        </is>
      </c>
      <c r="N6" s="4" t="inlineStr">
        <is>
          <t>recorded_min</t>
        </is>
      </c>
      <c r="O6" s="4" t="inlineStr">
        <is>
          <t>voicemail_drops</t>
        </is>
      </c>
      <c r="P6" s="4" t="inlineStr">
        <is>
          <t>amd_calls</t>
        </is>
      </c>
      <c r="Q6" s="4" t="inlineStr">
        <is>
          <t>active_agents</t>
        </is>
      </c>
      <c r="R6" s="4" t="inlineStr">
        <is>
          <t>peak_concurrent</t>
        </is>
      </c>
      <c r="S6" s="4" t="inlineStr">
        <is>
          <t>msgs_out</t>
        </is>
      </c>
      <c r="T6" s="4" t="inlineStr">
        <is>
          <t>msgs_in</t>
        </is>
      </c>
      <c r="U6" s="4" t="inlineStr">
        <is>
          <t>segments_out</t>
        </is>
      </c>
      <c r="V6" s="4" t="inlineStr">
        <is>
          <t>segments_in</t>
        </is>
      </c>
      <c r="W6" s="4" t="inlineStr">
        <is>
          <t>delivery_rate</t>
        </is>
      </c>
      <c r="X6" s="4" t="inlineStr">
        <is>
          <t>opt_outs</t>
        </is>
      </c>
      <c r="Y6" s="4" t="inlineStr">
        <is>
          <t>filtered_errors</t>
        </is>
      </c>
      <c r="Z6" s="4" t="inlineStr">
        <is>
          <t>carrier_fee_usd</t>
        </is>
      </c>
      <c r="AA6" s="4" t="inlineStr">
        <is>
          <t>licensed_users</t>
        </is>
      </c>
      <c r="AB6" s="4" t="inlineStr">
        <is>
          <t>edition</t>
        </is>
      </c>
      <c r="AC6" s="4" t="inlineStr">
        <is>
          <t>api_credits_per_day_avg</t>
        </is>
      </c>
      <c r="AD6" s="4" t="inlineStr">
        <is>
          <t>api_credits_per_day_peak</t>
        </is>
      </c>
      <c r="AE6" s="4" t="inlineStr">
        <is>
          <t>api_credit_limit</t>
        </is>
      </c>
      <c r="AF6" s="4" t="inlineStr">
        <is>
          <t>call_records_created</t>
        </is>
      </c>
      <c r="AG6" s="4" t="inlineStr">
        <is>
          <t>sends</t>
        </is>
      </c>
      <c r="AI6" s="4" t="inlineStr">
        <is>
          <t>Billed minutes, PSTN outbound, per seat / month</t>
        </is>
      </c>
      <c r="AJ6" s="4" t="inlineStr">
        <is>
          <t>Billed minutes, PSTN inbound, per seat / month</t>
        </is>
      </c>
      <c r="AK6" s="4" t="inlineStr">
        <is>
          <t>Billed minutes, browser leg, per seat / month</t>
        </is>
      </c>
      <c r="AL6" s="4" t="inlineStr">
        <is>
          <t>Recorded minutes, per seat / month</t>
        </is>
      </c>
      <c r="AM6" s="4" t="inlineStr">
        <is>
          <t>Calls, out plus in, per seat / month</t>
        </is>
      </c>
      <c r="AN6" s="4" t="inlineStr">
        <is>
          <t>Answering-machine-detection calls, per seat / month</t>
        </is>
      </c>
      <c r="AO6" s="4" t="inlineStr">
        <is>
          <t>Outbound SMS segments, per seat / month</t>
        </is>
      </c>
      <c r="AP6" s="4" t="inlineStr">
        <is>
          <t>Inbound SMS segments, per seat / month</t>
        </is>
      </c>
      <c r="AQ6" s="4" t="inlineStr">
        <is>
          <t>AI conversations, per tenant / month</t>
        </is>
      </c>
    </row>
    <row r="7">
      <c r="A7" s="12" t="inlineStr">
        <is>
          <t>kore</t>
        </is>
      </c>
      <c r="B7" s="12" t="inlineStr">
        <is>
          <t>dev</t>
        </is>
      </c>
      <c r="C7" s="24" t="inlineStr">
        <is>
          <t>2026-07</t>
        </is>
      </c>
      <c r="D7" s="9" t="n">
        <v>0</v>
      </c>
      <c r="AI7" s="25">
        <f>IF(AND($D7=1,ISNUMBER(K7),ISNUMBER(Q7)),IF(Q7&gt;0,(K7)/Q7,""),"")</f>
        <v/>
      </c>
      <c r="AJ7" s="25">
        <f>IF(AND($D7=1,ISNUMBER(L7),ISNUMBER(Q7)),IF(Q7&gt;0,(L7)/Q7,""),"")</f>
        <v/>
      </c>
      <c r="AK7" s="25">
        <f>IF(AND($D7=1,ISNUMBER(M7),ISNUMBER(Q7)),IF(Q7&gt;0,(M7)/Q7,""),"")</f>
        <v/>
      </c>
      <c r="AL7" s="25">
        <f>IF(AND($D7=1,ISNUMBER(N7),ISNUMBER(Q7)),IF(Q7&gt;0,(N7)/Q7,""),"")</f>
        <v/>
      </c>
      <c r="AM7" s="25">
        <f>IF(AND($D7=1,ISNUMBER(E7),ISNUMBER(F7),ISNUMBER(Q7)),IF(Q7&gt;0,(E7+F7)/Q7,""),"")</f>
        <v/>
      </c>
      <c r="AN7" s="25">
        <f>IF(AND($D7=1,ISNUMBER(P7),ISNUMBER(Q7)),IF(Q7&gt;0,(P7)/Q7,""),"")</f>
        <v/>
      </c>
      <c r="AO7" s="25">
        <f>IF(AND($D7=1,ISNUMBER(U7),ISNUMBER(Q7)),IF(Q7&gt;0,(U7)/Q7,""),"")</f>
        <v/>
      </c>
      <c r="AP7" s="25">
        <f>IF(AND($D7=1,ISNUMBER(V7),ISNUMBER(Q7)),IF(Q7&gt;0,(V7)/Q7,""),"")</f>
        <v/>
      </c>
    </row>
    <row r="8">
      <c r="A8" s="12" t="inlineStr">
        <is>
          <t>kore</t>
        </is>
      </c>
      <c r="B8" s="12" t="inlineStr">
        <is>
          <t>dev</t>
        </is>
      </c>
      <c r="C8" s="24" t="inlineStr">
        <is>
          <t>2026-08</t>
        </is>
      </c>
      <c r="D8" s="9" t="n">
        <v>0</v>
      </c>
      <c r="AI8" s="25">
        <f>IF(AND($D8=1,ISNUMBER(K8),ISNUMBER(Q8)),IF(Q8&gt;0,(K8)/Q8,""),"")</f>
        <v/>
      </c>
      <c r="AJ8" s="25">
        <f>IF(AND($D8=1,ISNUMBER(L8),ISNUMBER(Q8)),IF(Q8&gt;0,(L8)/Q8,""),"")</f>
        <v/>
      </c>
      <c r="AK8" s="25">
        <f>IF(AND($D8=1,ISNUMBER(M8),ISNUMBER(Q8)),IF(Q8&gt;0,(M8)/Q8,""),"")</f>
        <v/>
      </c>
      <c r="AL8" s="25">
        <f>IF(AND($D8=1,ISNUMBER(N8),ISNUMBER(Q8)),IF(Q8&gt;0,(N8)/Q8,""),"")</f>
        <v/>
      </c>
      <c r="AM8" s="25">
        <f>IF(AND($D8=1,ISNUMBER(E8),ISNUMBER(F8),ISNUMBER(Q8)),IF(Q8&gt;0,(E8+F8)/Q8,""),"")</f>
        <v/>
      </c>
      <c r="AN8" s="25">
        <f>IF(AND($D8=1,ISNUMBER(P8),ISNUMBER(Q8)),IF(Q8&gt;0,(P8)/Q8,""),"")</f>
        <v/>
      </c>
      <c r="AO8" s="25">
        <f>IF(AND($D8=1,ISNUMBER(U8),ISNUMBER(Q8)),IF(Q8&gt;0,(U8)/Q8,""),"")</f>
        <v/>
      </c>
      <c r="AP8" s="25">
        <f>IF(AND($D8=1,ISNUMBER(V8),ISNUMBER(Q8)),IF(Q8&gt;0,(V8)/Q8,""),"")</f>
        <v/>
      </c>
    </row>
    <row r="9">
      <c r="A9" s="12" t="inlineStr">
        <is>
          <t>kore</t>
        </is>
      </c>
      <c r="B9" s="12" t="inlineStr">
        <is>
          <t>dev</t>
        </is>
      </c>
      <c r="C9" s="24" t="inlineStr">
        <is>
          <t>2026-09</t>
        </is>
      </c>
      <c r="D9" s="9" t="n">
        <v>0</v>
      </c>
      <c r="AI9" s="25">
        <f>IF(AND($D9=1,ISNUMBER(K9),ISNUMBER(Q9)),IF(Q9&gt;0,(K9)/Q9,""),"")</f>
        <v/>
      </c>
      <c r="AJ9" s="25">
        <f>IF(AND($D9=1,ISNUMBER(L9),ISNUMBER(Q9)),IF(Q9&gt;0,(L9)/Q9,""),"")</f>
        <v/>
      </c>
      <c r="AK9" s="25">
        <f>IF(AND($D9=1,ISNUMBER(M9),ISNUMBER(Q9)),IF(Q9&gt;0,(M9)/Q9,""),"")</f>
        <v/>
      </c>
      <c r="AL9" s="25">
        <f>IF(AND($D9=1,ISNUMBER(N9),ISNUMBER(Q9)),IF(Q9&gt;0,(N9)/Q9,""),"")</f>
        <v/>
      </c>
      <c r="AM9" s="25">
        <f>IF(AND($D9=1,ISNUMBER(E9),ISNUMBER(F9),ISNUMBER(Q9)),IF(Q9&gt;0,(E9+F9)/Q9,""),"")</f>
        <v/>
      </c>
      <c r="AN9" s="25">
        <f>IF(AND($D9=1,ISNUMBER(P9),ISNUMBER(Q9)),IF(Q9&gt;0,(P9)/Q9,""),"")</f>
        <v/>
      </c>
      <c r="AO9" s="25">
        <f>IF(AND($D9=1,ISNUMBER(U9),ISNUMBER(Q9)),IF(Q9&gt;0,(U9)/Q9,""),"")</f>
        <v/>
      </c>
      <c r="AP9" s="25">
        <f>IF(AND($D9=1,ISNUMBER(V9),ISNUMBER(Q9)),IF(Q9&gt;0,(V9)/Q9,""),"")</f>
        <v/>
      </c>
    </row>
    <row r="10">
      <c r="A10" s="12" t="inlineStr">
        <is>
          <t>kore</t>
        </is>
      </c>
      <c r="B10" s="12" t="inlineStr">
        <is>
          <t>dev</t>
        </is>
      </c>
      <c r="C10" s="24" t="inlineStr">
        <is>
          <t>2026-10</t>
        </is>
      </c>
      <c r="D10" s="9" t="n">
        <v>0</v>
      </c>
      <c r="AI10" s="25">
        <f>IF(AND($D10=1,ISNUMBER(K10),ISNUMBER(Q10)),IF(Q10&gt;0,(K10)/Q10,""),"")</f>
        <v/>
      </c>
      <c r="AJ10" s="25">
        <f>IF(AND($D10=1,ISNUMBER(L10),ISNUMBER(Q10)),IF(Q10&gt;0,(L10)/Q10,""),"")</f>
        <v/>
      </c>
      <c r="AK10" s="25">
        <f>IF(AND($D10=1,ISNUMBER(M10),ISNUMBER(Q10)),IF(Q10&gt;0,(M10)/Q10,""),"")</f>
        <v/>
      </c>
      <c r="AL10" s="25">
        <f>IF(AND($D10=1,ISNUMBER(N10),ISNUMBER(Q10)),IF(Q10&gt;0,(N10)/Q10,""),"")</f>
        <v/>
      </c>
      <c r="AM10" s="25">
        <f>IF(AND($D10=1,ISNUMBER(E10),ISNUMBER(F10),ISNUMBER(Q10)),IF(Q10&gt;0,(E10+F10)/Q10,""),"")</f>
        <v/>
      </c>
      <c r="AN10" s="25">
        <f>IF(AND($D10=1,ISNUMBER(P10),ISNUMBER(Q10)),IF(Q10&gt;0,(P10)/Q10,""),"")</f>
        <v/>
      </c>
      <c r="AO10" s="25">
        <f>IF(AND($D10=1,ISNUMBER(U10),ISNUMBER(Q10)),IF(Q10&gt;0,(U10)/Q10,""),"")</f>
        <v/>
      </c>
      <c r="AP10" s="25">
        <f>IF(AND($D10=1,ISNUMBER(V10),ISNUMBER(Q10)),IF(Q10&gt;0,(V10)/Q10,""),"")</f>
        <v/>
      </c>
    </row>
    <row r="11">
      <c r="A11" s="12" t="inlineStr">
        <is>
          <t>kore-sandbox</t>
        </is>
      </c>
      <c r="B11" s="12" t="inlineStr">
        <is>
          <t>sandbox</t>
        </is>
      </c>
      <c r="C11" s="24" t="inlineStr">
        <is>
          <t>2026-07</t>
        </is>
      </c>
      <c r="D11" s="9" t="n">
        <v>0</v>
      </c>
      <c r="AI11" s="25">
        <f>IF(AND($D11=1,ISNUMBER(K11),ISNUMBER(Q11)),IF(Q11&gt;0,(K11)/Q11,""),"")</f>
        <v/>
      </c>
      <c r="AJ11" s="25">
        <f>IF(AND($D11=1,ISNUMBER(L11),ISNUMBER(Q11)),IF(Q11&gt;0,(L11)/Q11,""),"")</f>
        <v/>
      </c>
      <c r="AK11" s="25">
        <f>IF(AND($D11=1,ISNUMBER(M11),ISNUMBER(Q11)),IF(Q11&gt;0,(M11)/Q11,""),"")</f>
        <v/>
      </c>
      <c r="AL11" s="25">
        <f>IF(AND($D11=1,ISNUMBER(N11),ISNUMBER(Q11)),IF(Q11&gt;0,(N11)/Q11,""),"")</f>
        <v/>
      </c>
      <c r="AM11" s="25">
        <f>IF(AND($D11=1,ISNUMBER(E11),ISNUMBER(F11),ISNUMBER(Q11)),IF(Q11&gt;0,(E11+F11)/Q11,""),"")</f>
        <v/>
      </c>
      <c r="AN11" s="25">
        <f>IF(AND($D11=1,ISNUMBER(P11),ISNUMBER(Q11)),IF(Q11&gt;0,(P11)/Q11,""),"")</f>
        <v/>
      </c>
      <c r="AO11" s="25">
        <f>IF(AND($D11=1,ISNUMBER(U11),ISNUMBER(Q11)),IF(Q11&gt;0,(U11)/Q11,""),"")</f>
        <v/>
      </c>
      <c r="AP11" s="25">
        <f>IF(AND($D11=1,ISNUMBER(V11),ISNUMBER(Q11)),IF(Q11&gt;0,(V11)/Q11,""),"")</f>
        <v/>
      </c>
    </row>
    <row r="12">
      <c r="A12" s="12" t="inlineStr">
        <is>
          <t>kore-sandbox</t>
        </is>
      </c>
      <c r="B12" s="12" t="inlineStr">
        <is>
          <t>sandbox</t>
        </is>
      </c>
      <c r="C12" s="24" t="inlineStr">
        <is>
          <t>2026-08</t>
        </is>
      </c>
      <c r="D12" s="9" t="n">
        <v>0</v>
      </c>
      <c r="AI12" s="25">
        <f>IF(AND($D12=1,ISNUMBER(K12),ISNUMBER(Q12)),IF(Q12&gt;0,(K12)/Q12,""),"")</f>
        <v/>
      </c>
      <c r="AJ12" s="25">
        <f>IF(AND($D12=1,ISNUMBER(L12),ISNUMBER(Q12)),IF(Q12&gt;0,(L12)/Q12,""),"")</f>
        <v/>
      </c>
      <c r="AK12" s="25">
        <f>IF(AND($D12=1,ISNUMBER(M12),ISNUMBER(Q12)),IF(Q12&gt;0,(M12)/Q12,""),"")</f>
        <v/>
      </c>
      <c r="AL12" s="25">
        <f>IF(AND($D12=1,ISNUMBER(N12),ISNUMBER(Q12)),IF(Q12&gt;0,(N12)/Q12,""),"")</f>
        <v/>
      </c>
      <c r="AM12" s="25">
        <f>IF(AND($D12=1,ISNUMBER(E12),ISNUMBER(F12),ISNUMBER(Q12)),IF(Q12&gt;0,(E12+F12)/Q12,""),"")</f>
        <v/>
      </c>
      <c r="AN12" s="25">
        <f>IF(AND($D12=1,ISNUMBER(P12),ISNUMBER(Q12)),IF(Q12&gt;0,(P12)/Q12,""),"")</f>
        <v/>
      </c>
      <c r="AO12" s="25">
        <f>IF(AND($D12=1,ISNUMBER(U12),ISNUMBER(Q12)),IF(Q12&gt;0,(U12)/Q12,""),"")</f>
        <v/>
      </c>
      <c r="AP12" s="25">
        <f>IF(AND($D12=1,ISNUMBER(V12),ISNUMBER(Q12)),IF(Q12&gt;0,(V12)/Q12,""),"")</f>
        <v/>
      </c>
    </row>
    <row r="13">
      <c r="A13" s="12" t="inlineStr">
        <is>
          <t>kore-sandbox</t>
        </is>
      </c>
      <c r="B13" s="12" t="inlineStr">
        <is>
          <t>sandbox</t>
        </is>
      </c>
      <c r="C13" s="24" t="inlineStr">
        <is>
          <t>2026-09</t>
        </is>
      </c>
      <c r="D13" s="9" t="n">
        <v>0</v>
      </c>
      <c r="AI13" s="25">
        <f>IF(AND($D13=1,ISNUMBER(K13),ISNUMBER(Q13)),IF(Q13&gt;0,(K13)/Q13,""),"")</f>
        <v/>
      </c>
      <c r="AJ13" s="25">
        <f>IF(AND($D13=1,ISNUMBER(L13),ISNUMBER(Q13)),IF(Q13&gt;0,(L13)/Q13,""),"")</f>
        <v/>
      </c>
      <c r="AK13" s="25">
        <f>IF(AND($D13=1,ISNUMBER(M13),ISNUMBER(Q13)),IF(Q13&gt;0,(M13)/Q13,""),"")</f>
        <v/>
      </c>
      <c r="AL13" s="25">
        <f>IF(AND($D13=1,ISNUMBER(N13),ISNUMBER(Q13)),IF(Q13&gt;0,(N13)/Q13,""),"")</f>
        <v/>
      </c>
      <c r="AM13" s="25">
        <f>IF(AND($D13=1,ISNUMBER(E13),ISNUMBER(F13),ISNUMBER(Q13)),IF(Q13&gt;0,(E13+F13)/Q13,""),"")</f>
        <v/>
      </c>
      <c r="AN13" s="25">
        <f>IF(AND($D13=1,ISNUMBER(P13),ISNUMBER(Q13)),IF(Q13&gt;0,(P13)/Q13,""),"")</f>
        <v/>
      </c>
      <c r="AO13" s="25">
        <f>IF(AND($D13=1,ISNUMBER(U13),ISNUMBER(Q13)),IF(Q13&gt;0,(U13)/Q13,""),"")</f>
        <v/>
      </c>
      <c r="AP13" s="25">
        <f>IF(AND($D13=1,ISNUMBER(V13),ISNUMBER(Q13)),IF(Q13&gt;0,(V13)/Q13,""),"")</f>
        <v/>
      </c>
    </row>
    <row r="14">
      <c r="A14" s="12" t="inlineStr">
        <is>
          <t>kore-sandbox</t>
        </is>
      </c>
      <c r="B14" s="12" t="inlineStr">
        <is>
          <t>sandbox</t>
        </is>
      </c>
      <c r="C14" s="24" t="inlineStr">
        <is>
          <t>2026-10</t>
        </is>
      </c>
      <c r="D14" s="9" t="n">
        <v>0</v>
      </c>
      <c r="AI14" s="25">
        <f>IF(AND($D14=1,ISNUMBER(K14),ISNUMBER(Q14)),IF(Q14&gt;0,(K14)/Q14,""),"")</f>
        <v/>
      </c>
      <c r="AJ14" s="25">
        <f>IF(AND($D14=1,ISNUMBER(L14),ISNUMBER(Q14)),IF(Q14&gt;0,(L14)/Q14,""),"")</f>
        <v/>
      </c>
      <c r="AK14" s="25">
        <f>IF(AND($D14=1,ISNUMBER(M14),ISNUMBER(Q14)),IF(Q14&gt;0,(M14)/Q14,""),"")</f>
        <v/>
      </c>
      <c r="AL14" s="25">
        <f>IF(AND($D14=1,ISNUMBER(N14),ISNUMBER(Q14)),IF(Q14&gt;0,(N14)/Q14,""),"")</f>
        <v/>
      </c>
      <c r="AM14" s="25">
        <f>IF(AND($D14=1,ISNUMBER(E14),ISNUMBER(F14),ISNUMBER(Q14)),IF(Q14&gt;0,(E14+F14)/Q14,""),"")</f>
        <v/>
      </c>
      <c r="AN14" s="25">
        <f>IF(AND($D14=1,ISNUMBER(P14),ISNUMBER(Q14)),IF(Q14&gt;0,(P14)/Q14,""),"")</f>
        <v/>
      </c>
      <c r="AO14" s="25">
        <f>IF(AND($D14=1,ISNUMBER(U14),ISNUMBER(Q14)),IF(Q14&gt;0,(U14)/Q14,""),"")</f>
        <v/>
      </c>
      <c r="AP14" s="25">
        <f>IF(AND($D14=1,ISNUMBER(V14),ISNUMBER(Q14)),IF(Q14&gt;0,(V14)/Q14,""),"")</f>
        <v/>
      </c>
    </row>
    <row r="15">
      <c r="A15" s="12" t="inlineStr">
        <is>
          <t>the-moving-group</t>
        </is>
      </c>
      <c r="B15" s="12" t="inlineStr">
        <is>
          <t>prod</t>
        </is>
      </c>
      <c r="C15" s="24" t="inlineStr">
        <is>
          <t>2026-07</t>
        </is>
      </c>
      <c r="D15" s="9" t="n">
        <v>1</v>
      </c>
      <c r="AI15" s="25">
        <f>IF(AND($D15=1,ISNUMBER(K15),ISNUMBER(Q15)),IF(Q15&gt;0,(K15)/Q15,""),"")</f>
        <v/>
      </c>
      <c r="AJ15" s="25">
        <f>IF(AND($D15=1,ISNUMBER(L15),ISNUMBER(Q15)),IF(Q15&gt;0,(L15)/Q15,""),"")</f>
        <v/>
      </c>
      <c r="AK15" s="25">
        <f>IF(AND($D15=1,ISNUMBER(M15),ISNUMBER(Q15)),IF(Q15&gt;0,(M15)/Q15,""),"")</f>
        <v/>
      </c>
      <c r="AL15" s="25">
        <f>IF(AND($D15=1,ISNUMBER(N15),ISNUMBER(Q15)),IF(Q15&gt;0,(N15)/Q15,""),"")</f>
        <v/>
      </c>
      <c r="AM15" s="25">
        <f>IF(AND($D15=1,ISNUMBER(E15),ISNUMBER(F15),ISNUMBER(Q15)),IF(Q15&gt;0,(E15+F15)/Q15,""),"")</f>
        <v/>
      </c>
      <c r="AN15" s="25">
        <f>IF(AND($D15=1,ISNUMBER(P15),ISNUMBER(Q15)),IF(Q15&gt;0,(P15)/Q15,""),"")</f>
        <v/>
      </c>
      <c r="AO15" s="25">
        <f>IF(AND($D15=1,ISNUMBER(U15),ISNUMBER(Q15)),IF(Q15&gt;0,(U15)/Q15,""),"")</f>
        <v/>
      </c>
      <c r="AP15" s="25">
        <f>IF(AND($D15=1,ISNUMBER(V15),ISNUMBER(Q15)),IF(Q15&gt;0,(V15)/Q15,""),"")</f>
        <v/>
      </c>
    </row>
    <row r="16">
      <c r="A16" s="12" t="inlineStr">
        <is>
          <t>the-moving-group</t>
        </is>
      </c>
      <c r="B16" s="12" t="inlineStr">
        <is>
          <t>prod</t>
        </is>
      </c>
      <c r="C16" s="24" t="inlineStr">
        <is>
          <t>2026-08</t>
        </is>
      </c>
      <c r="D16" s="9" t="n">
        <v>1</v>
      </c>
      <c r="AI16" s="25">
        <f>IF(AND($D16=1,ISNUMBER(K16),ISNUMBER(Q16)),IF(Q16&gt;0,(K16)/Q16,""),"")</f>
        <v/>
      </c>
      <c r="AJ16" s="25">
        <f>IF(AND($D16=1,ISNUMBER(L16),ISNUMBER(Q16)),IF(Q16&gt;0,(L16)/Q16,""),"")</f>
        <v/>
      </c>
      <c r="AK16" s="25">
        <f>IF(AND($D16=1,ISNUMBER(M16),ISNUMBER(Q16)),IF(Q16&gt;0,(M16)/Q16,""),"")</f>
        <v/>
      </c>
      <c r="AL16" s="25">
        <f>IF(AND($D16=1,ISNUMBER(N16),ISNUMBER(Q16)),IF(Q16&gt;0,(N16)/Q16,""),"")</f>
        <v/>
      </c>
      <c r="AM16" s="25">
        <f>IF(AND($D16=1,ISNUMBER(E16),ISNUMBER(F16),ISNUMBER(Q16)),IF(Q16&gt;0,(E16+F16)/Q16,""),"")</f>
        <v/>
      </c>
      <c r="AN16" s="25">
        <f>IF(AND($D16=1,ISNUMBER(P16),ISNUMBER(Q16)),IF(Q16&gt;0,(P16)/Q16,""),"")</f>
        <v/>
      </c>
      <c r="AO16" s="25">
        <f>IF(AND($D16=1,ISNUMBER(U16),ISNUMBER(Q16)),IF(Q16&gt;0,(U16)/Q16,""),"")</f>
        <v/>
      </c>
      <c r="AP16" s="25">
        <f>IF(AND($D16=1,ISNUMBER(V16),ISNUMBER(Q16)),IF(Q16&gt;0,(V16)/Q16,""),"")</f>
        <v/>
      </c>
    </row>
    <row r="17">
      <c r="A17" s="12" t="inlineStr">
        <is>
          <t>the-moving-group</t>
        </is>
      </c>
      <c r="B17" s="12" t="inlineStr">
        <is>
          <t>prod</t>
        </is>
      </c>
      <c r="C17" s="24" t="inlineStr">
        <is>
          <t>2026-09</t>
        </is>
      </c>
      <c r="D17" s="9" t="n">
        <v>1</v>
      </c>
      <c r="AI17" s="25">
        <f>IF(AND($D17=1,ISNUMBER(K17),ISNUMBER(Q17)),IF(Q17&gt;0,(K17)/Q17,""),"")</f>
        <v/>
      </c>
      <c r="AJ17" s="25">
        <f>IF(AND($D17=1,ISNUMBER(L17),ISNUMBER(Q17)),IF(Q17&gt;0,(L17)/Q17,""),"")</f>
        <v/>
      </c>
      <c r="AK17" s="25">
        <f>IF(AND($D17=1,ISNUMBER(M17),ISNUMBER(Q17)),IF(Q17&gt;0,(M17)/Q17,""),"")</f>
        <v/>
      </c>
      <c r="AL17" s="25">
        <f>IF(AND($D17=1,ISNUMBER(N17),ISNUMBER(Q17)),IF(Q17&gt;0,(N17)/Q17,""),"")</f>
        <v/>
      </c>
      <c r="AM17" s="25">
        <f>IF(AND($D17=1,ISNUMBER(E17),ISNUMBER(F17),ISNUMBER(Q17)),IF(Q17&gt;0,(E17+F17)/Q17,""),"")</f>
        <v/>
      </c>
      <c r="AN17" s="25">
        <f>IF(AND($D17=1,ISNUMBER(P17),ISNUMBER(Q17)),IF(Q17&gt;0,(P17)/Q17,""),"")</f>
        <v/>
      </c>
      <c r="AO17" s="25">
        <f>IF(AND($D17=1,ISNUMBER(U17),ISNUMBER(Q17)),IF(Q17&gt;0,(U17)/Q17,""),"")</f>
        <v/>
      </c>
      <c r="AP17" s="25">
        <f>IF(AND($D17=1,ISNUMBER(V17),ISNUMBER(Q17)),IF(Q17&gt;0,(V17)/Q17,""),"")</f>
        <v/>
      </c>
    </row>
    <row r="18">
      <c r="A18" s="12" t="inlineStr">
        <is>
          <t>the-moving-group</t>
        </is>
      </c>
      <c r="B18" s="12" t="inlineStr">
        <is>
          <t>prod</t>
        </is>
      </c>
      <c r="C18" s="24" t="inlineStr">
        <is>
          <t>2026-10</t>
        </is>
      </c>
      <c r="D18" s="9" t="n">
        <v>0</v>
      </c>
      <c r="AI18" s="25">
        <f>IF(AND($D18=1,ISNUMBER(K18),ISNUMBER(Q18)),IF(Q18&gt;0,(K18)/Q18,""),"")</f>
        <v/>
      </c>
      <c r="AJ18" s="25">
        <f>IF(AND($D18=1,ISNUMBER(L18),ISNUMBER(Q18)),IF(Q18&gt;0,(L18)/Q18,""),"")</f>
        <v/>
      </c>
      <c r="AK18" s="25">
        <f>IF(AND($D18=1,ISNUMBER(M18),ISNUMBER(Q18)),IF(Q18&gt;0,(M18)/Q18,""),"")</f>
        <v/>
      </c>
      <c r="AL18" s="25">
        <f>IF(AND($D18=1,ISNUMBER(N18),ISNUMBER(Q18)),IF(Q18&gt;0,(N18)/Q18,""),"")</f>
        <v/>
      </c>
      <c r="AM18" s="25">
        <f>IF(AND($D18=1,ISNUMBER(E18),ISNUMBER(F18),ISNUMBER(Q18)),IF(Q18&gt;0,(E18+F18)/Q18,""),"")</f>
        <v/>
      </c>
      <c r="AN18" s="25">
        <f>IF(AND($D18=1,ISNUMBER(P18),ISNUMBER(Q18)),IF(Q18&gt;0,(P18)/Q18,""),"")</f>
        <v/>
      </c>
      <c r="AO18" s="25">
        <f>IF(AND($D18=1,ISNUMBER(U18),ISNUMBER(Q18)),IF(Q18&gt;0,(U18)/Q18,""),"")</f>
        <v/>
      </c>
      <c r="AP18" s="25">
        <f>IF(AND($D18=1,ISNUMBER(V18),ISNUMBER(Q18)),IF(Q18&gt;0,(V18)/Q18,""),"")</f>
        <v/>
      </c>
    </row>
    <row r="21">
      <c r="A21" s="5" t="inlineStr">
        <is>
          <t>Usage profile: measured where there is data, assumed where there is not</t>
        </is>
      </c>
      <c r="B21" s="6" t="n"/>
      <c r="C21" s="6" t="n"/>
      <c r="D21" s="6" t="n"/>
      <c r="E21" s="6" t="n"/>
      <c r="F21" s="6" t="n"/>
      <c r="G21" s="6" t="n"/>
      <c r="H21" s="6" t="n"/>
      <c r="I21" s="6" t="n"/>
      <c r="J21" s="6" t="n"/>
      <c r="K21" s="6" t="n"/>
      <c r="L21" s="6" t="n"/>
    </row>
    <row r="22" ht="30" customHeight="1">
      <c r="A22" s="4" t="inlineStr">
        <is>
          <t>Metric</t>
        </is>
      </c>
      <c r="B22" s="4" t="inlineStr">
        <is>
          <t>Unit</t>
        </is>
      </c>
      <c r="C22" s="4" t="inlineStr">
        <is>
          <t>n (months)</t>
        </is>
      </c>
      <c r="D22" s="4" t="inlineStr">
        <is>
          <t>Mean</t>
        </is>
      </c>
      <c r="E22" s="4" t="inlineStr">
        <is>
          <t>Median</t>
        </is>
      </c>
      <c r="F22" s="4" t="inlineStr">
        <is>
          <t>P25</t>
        </is>
      </c>
      <c r="G22" s="4" t="inlineStr">
        <is>
          <t>P90</t>
        </is>
      </c>
      <c r="H22" s="4" t="inlineStr">
        <is>
          <t>Assumption</t>
        </is>
      </c>
      <c r="I22" s="4" t="inlineStr">
        <is>
          <t>Low used</t>
        </is>
      </c>
      <c r="J22" s="4" t="inlineStr">
        <is>
          <t>Base used</t>
        </is>
      </c>
      <c r="K22" s="4" t="inlineStr">
        <is>
          <t>High used</t>
        </is>
      </c>
      <c r="L22" s="4" t="inlineStr">
        <is>
          <t>Basis</t>
        </is>
      </c>
    </row>
    <row r="23">
      <c r="A23" s="12" t="inlineStr">
        <is>
          <t>Billed minutes, PSTN outbound</t>
        </is>
      </c>
      <c r="B23" s="10" t="inlineStr">
        <is>
          <t>per seat / month</t>
        </is>
      </c>
      <c r="C23" s="15">
        <f>COUNT($AI$7:$AI$18)</f>
        <v/>
      </c>
      <c r="D23" s="25">
        <f>IF(C23=0,"",AVERAGE($AI$7:$AI$18))</f>
        <v/>
      </c>
      <c r="E23" s="25">
        <f>IF(C23=0,"",MEDIAN($AI$7:$AI$18))</f>
        <v/>
      </c>
      <c r="F23" s="25">
        <f>IF(C23=0,"",PERCENTILE($AI$7:$AI$18,0.25))</f>
        <v/>
      </c>
      <c r="G23" s="25">
        <f>IF(C23=0,"",PERCENTILE($AI$7:$AI$18,0.9))</f>
        <v/>
      </c>
      <c r="H23" s="25">
        <f>Assumptions!$C$66</f>
        <v/>
      </c>
      <c r="I23" s="25">
        <f>IF(C23&gt;=3,F23,J23*(1-Assumptions!$C$64))</f>
        <v/>
      </c>
      <c r="J23" s="26">
        <f>IF(C23=0,H23,D23)</f>
        <v/>
      </c>
      <c r="K23" s="25">
        <f>IF(C23&gt;=3,G23,J23*(1+Assumptions!$C$64))</f>
        <v/>
      </c>
      <c r="L23" s="14">
        <f>IF(C23=0,"ASSUMPTION",IF(C23&lt;3,"Actual mean, banded","Actual P25 / mean / P90"))</f>
        <v/>
      </c>
    </row>
    <row r="24">
      <c r="A24" s="12" t="inlineStr">
        <is>
          <t>Billed minutes, PSTN inbound</t>
        </is>
      </c>
      <c r="B24" s="10" t="inlineStr">
        <is>
          <t>per seat / month</t>
        </is>
      </c>
      <c r="C24" s="15">
        <f>COUNT($AJ$7:$AJ$18)</f>
        <v/>
      </c>
      <c r="D24" s="25">
        <f>IF(C24=0,"",AVERAGE($AJ$7:$AJ$18))</f>
        <v/>
      </c>
      <c r="E24" s="25">
        <f>IF(C24=0,"",MEDIAN($AJ$7:$AJ$18))</f>
        <v/>
      </c>
      <c r="F24" s="25">
        <f>IF(C24=0,"",PERCENTILE($AJ$7:$AJ$18,0.25))</f>
        <v/>
      </c>
      <c r="G24" s="25">
        <f>IF(C24=0,"",PERCENTILE($AJ$7:$AJ$18,0.9))</f>
        <v/>
      </c>
      <c r="H24" s="25">
        <f>Assumptions!$C$68</f>
        <v/>
      </c>
      <c r="I24" s="25">
        <f>IF(C24&gt;=3,F24,J24*(1-Assumptions!$C$64))</f>
        <v/>
      </c>
      <c r="J24" s="26">
        <f>IF(C24=0,H24,D24)</f>
        <v/>
      </c>
      <c r="K24" s="25">
        <f>IF(C24&gt;=3,G24,J24*(1+Assumptions!$C$64))</f>
        <v/>
      </c>
      <c r="L24" s="14">
        <f>IF(C24=0,"ASSUMPTION",IF(C24&lt;3,"Actual mean, banded","Actual P25 / mean / P90"))</f>
        <v/>
      </c>
    </row>
    <row r="25">
      <c r="A25" s="12" t="inlineStr">
        <is>
          <t>Billed minutes, browser leg</t>
        </is>
      </c>
      <c r="B25" s="10" t="inlineStr">
        <is>
          <t>per seat / month</t>
        </is>
      </c>
      <c r="C25" s="15">
        <f>COUNT($AK$7:$AK$18)</f>
        <v/>
      </c>
      <c r="D25" s="25">
        <f>IF(C25=0,"",AVERAGE($AK$7:$AK$18))</f>
        <v/>
      </c>
      <c r="E25" s="25">
        <f>IF(C25=0,"",MEDIAN($AK$7:$AK$18))</f>
        <v/>
      </c>
      <c r="F25" s="25">
        <f>IF(C25=0,"",PERCENTILE($AK$7:$AK$18,0.25))</f>
        <v/>
      </c>
      <c r="G25" s="25">
        <f>IF(C25=0,"",PERCENTILE($AK$7:$AK$18,0.9))</f>
        <v/>
      </c>
      <c r="H25" s="25">
        <f>Assumptions!$C$69</f>
        <v/>
      </c>
      <c r="I25" s="25">
        <f>IF(C25&gt;=3,F25,J25*(1-Assumptions!$C$64))</f>
        <v/>
      </c>
      <c r="J25" s="26">
        <f>IF(C25=0,H25,D25)</f>
        <v/>
      </c>
      <c r="K25" s="25">
        <f>IF(C25&gt;=3,G25,J25*(1+Assumptions!$C$64))</f>
        <v/>
      </c>
      <c r="L25" s="14">
        <f>IF(C25=0,"ASSUMPTION",IF(C25&lt;3,"Actual mean, banded","Actual P25 / mean / P90"))</f>
        <v/>
      </c>
    </row>
    <row r="26">
      <c r="A26" s="12" t="inlineStr">
        <is>
          <t>Recorded minutes</t>
        </is>
      </c>
      <c r="B26" s="10" t="inlineStr">
        <is>
          <t>per seat / month</t>
        </is>
      </c>
      <c r="C26" s="15">
        <f>COUNT($AL$7:$AL$18)</f>
        <v/>
      </c>
      <c r="D26" s="25">
        <f>IF(C26=0,"",AVERAGE($AL$7:$AL$18))</f>
        <v/>
      </c>
      <c r="E26" s="25">
        <f>IF(C26=0,"",MEDIAN($AL$7:$AL$18))</f>
        <v/>
      </c>
      <c r="F26" s="25">
        <f>IF(C26=0,"",PERCENTILE($AL$7:$AL$18,0.25))</f>
        <v/>
      </c>
      <c r="G26" s="25">
        <f>IF(C26=0,"",PERCENTILE($AL$7:$AL$18,0.9))</f>
        <v/>
      </c>
      <c r="H26" s="25">
        <f>Assumptions!$C$70</f>
        <v/>
      </c>
      <c r="I26" s="25">
        <f>IF(C26&gt;=3,F26,J26*(1-Assumptions!$C$64))</f>
        <v/>
      </c>
      <c r="J26" s="26">
        <f>IF(C26=0,H26,D26)</f>
        <v/>
      </c>
      <c r="K26" s="25">
        <f>IF(C26&gt;=3,G26,J26*(1+Assumptions!$C$64))</f>
        <v/>
      </c>
      <c r="L26" s="14">
        <f>IF(C26=0,"ASSUMPTION",IF(C26&lt;3,"Actual mean, banded","Actual P25 / mean / P90"))</f>
        <v/>
      </c>
    </row>
    <row r="27">
      <c r="A27" s="12" t="inlineStr">
        <is>
          <t>Calls, out plus in</t>
        </is>
      </c>
      <c r="B27" s="10" t="inlineStr">
        <is>
          <t>per seat / month</t>
        </is>
      </c>
      <c r="C27" s="15">
        <f>COUNT($AM$7:$AM$18)</f>
        <v/>
      </c>
      <c r="D27" s="25">
        <f>IF(C27=0,"",AVERAGE($AM$7:$AM$18))</f>
        <v/>
      </c>
      <c r="E27" s="25">
        <f>IF(C27=0,"",MEDIAN($AM$7:$AM$18))</f>
        <v/>
      </c>
      <c r="F27" s="25">
        <f>IF(C27=0,"",PERCENTILE($AM$7:$AM$18,0.25))</f>
        <v/>
      </c>
      <c r="G27" s="25">
        <f>IF(C27=0,"",PERCENTILE($AM$7:$AM$18,0.9))</f>
        <v/>
      </c>
      <c r="H27" s="25">
        <f>Assumptions!$C$71</f>
        <v/>
      </c>
      <c r="I27" s="25">
        <f>IF(C27&gt;=3,F27,J27*(1-Assumptions!$C$64))</f>
        <v/>
      </c>
      <c r="J27" s="26">
        <f>IF(C27=0,H27,D27)</f>
        <v/>
      </c>
      <c r="K27" s="25">
        <f>IF(C27&gt;=3,G27,J27*(1+Assumptions!$C$64))</f>
        <v/>
      </c>
      <c r="L27" s="14">
        <f>IF(C27=0,"ASSUMPTION",IF(C27&lt;3,"Actual mean, banded","Actual P25 / mean / P90"))</f>
        <v/>
      </c>
    </row>
    <row r="28">
      <c r="A28" s="12" t="inlineStr">
        <is>
          <t>Answering-machine-detection calls</t>
        </is>
      </c>
      <c r="B28" s="10" t="inlineStr">
        <is>
          <t>per seat / month</t>
        </is>
      </c>
      <c r="C28" s="15">
        <f>COUNT($AN$7:$AN$18)</f>
        <v/>
      </c>
      <c r="D28" s="25">
        <f>IF(C28=0,"",AVERAGE($AN$7:$AN$18))</f>
        <v/>
      </c>
      <c r="E28" s="25">
        <f>IF(C28=0,"",MEDIAN($AN$7:$AN$18))</f>
        <v/>
      </c>
      <c r="F28" s="25">
        <f>IF(C28=0,"",PERCENTILE($AN$7:$AN$18,0.25))</f>
        <v/>
      </c>
      <c r="G28" s="25">
        <f>IF(C28=0,"",PERCENTILE($AN$7:$AN$18,0.9))</f>
        <v/>
      </c>
      <c r="H28" s="25">
        <f>Assumptions!$C$72</f>
        <v/>
      </c>
      <c r="I28" s="25">
        <f>IF(C28&gt;=3,F28,J28*(1-Assumptions!$C$64))</f>
        <v/>
      </c>
      <c r="J28" s="26">
        <f>IF(C28=0,H28,D28)</f>
        <v/>
      </c>
      <c r="K28" s="25">
        <f>IF(C28&gt;=3,G28,J28*(1+Assumptions!$C$64))</f>
        <v/>
      </c>
      <c r="L28" s="14">
        <f>IF(C28=0,"ASSUMPTION",IF(C28&lt;3,"Actual mean, banded","Actual P25 / mean / P90"))</f>
        <v/>
      </c>
    </row>
    <row r="29">
      <c r="A29" s="12" t="inlineStr">
        <is>
          <t>Outbound SMS segments</t>
        </is>
      </c>
      <c r="B29" s="10" t="inlineStr">
        <is>
          <t>per seat / month</t>
        </is>
      </c>
      <c r="C29" s="15">
        <f>COUNT($AO$7:$AO$18)</f>
        <v/>
      </c>
      <c r="D29" s="25">
        <f>IF(C29=0,"",AVERAGE($AO$7:$AO$18))</f>
        <v/>
      </c>
      <c r="E29" s="25">
        <f>IF(C29=0,"",MEDIAN($AO$7:$AO$18))</f>
        <v/>
      </c>
      <c r="F29" s="25">
        <f>IF(C29=0,"",PERCENTILE($AO$7:$AO$18,0.25))</f>
        <v/>
      </c>
      <c r="G29" s="25">
        <f>IF(C29=0,"",PERCENTILE($AO$7:$AO$18,0.9))</f>
        <v/>
      </c>
      <c r="H29" s="25">
        <f>Assumptions!$C$81</f>
        <v/>
      </c>
      <c r="I29" s="25">
        <f>IF(C29&gt;=3,F29,J29*(1-Assumptions!$C$64))</f>
        <v/>
      </c>
      <c r="J29" s="26">
        <f>IF(C29=0,H29,D29)</f>
        <v/>
      </c>
      <c r="K29" s="25">
        <f>IF(C29&gt;=3,G29,J29*(1+Assumptions!$C$64))</f>
        <v/>
      </c>
      <c r="L29" s="14">
        <f>IF(C29=0,"ASSUMPTION",IF(C29&lt;3,"Actual mean, banded","Actual P25 / mean / P90"))</f>
        <v/>
      </c>
    </row>
    <row r="30">
      <c r="A30" s="12" t="inlineStr">
        <is>
          <t>Inbound SMS segments</t>
        </is>
      </c>
      <c r="B30" s="10" t="inlineStr">
        <is>
          <t>per seat / month</t>
        </is>
      </c>
      <c r="C30" s="15">
        <f>COUNT($AP$7:$AP$18)</f>
        <v/>
      </c>
      <c r="D30" s="25">
        <f>IF(C30=0,"",AVERAGE($AP$7:$AP$18))</f>
        <v/>
      </c>
      <c r="E30" s="25">
        <f>IF(C30=0,"",MEDIAN($AP$7:$AP$18))</f>
        <v/>
      </c>
      <c r="F30" s="25">
        <f>IF(C30=0,"",PERCENTILE($AP$7:$AP$18,0.25))</f>
        <v/>
      </c>
      <c r="G30" s="25">
        <f>IF(C30=0,"",PERCENTILE($AP$7:$AP$18,0.9))</f>
        <v/>
      </c>
      <c r="H30" s="25">
        <f>Assumptions!$C$82</f>
        <v/>
      </c>
      <c r="I30" s="25">
        <f>IF(C30&gt;=3,F30,J30*(1-Assumptions!$C$64))</f>
        <v/>
      </c>
      <c r="J30" s="26">
        <f>IF(C30=0,H30,D30)</f>
        <v/>
      </c>
      <c r="K30" s="25">
        <f>IF(C30&gt;=3,G30,J30*(1+Assumptions!$C$64))</f>
        <v/>
      </c>
      <c r="L30" s="14">
        <f>IF(C30=0,"ASSUMPTION",IF(C30&lt;3,"Actual mean, banded","Actual P25 / mean / P90"))</f>
        <v/>
      </c>
    </row>
    <row r="31">
      <c r="A31" s="12" t="inlineStr">
        <is>
          <t>AI conversations</t>
        </is>
      </c>
      <c r="B31" s="10" t="inlineStr">
        <is>
          <t>per tenant / month</t>
        </is>
      </c>
      <c r="C31" s="15" t="n">
        <v>0</v>
      </c>
      <c r="D31" s="12" t="inlineStr"/>
      <c r="E31" s="12" t="inlineStr"/>
      <c r="F31" s="12" t="inlineStr"/>
      <c r="G31" s="12" t="inlineStr"/>
      <c r="H31" s="25">
        <f>Assumptions!$C$90</f>
        <v/>
      </c>
      <c r="I31" s="25">
        <f>IF(C31&gt;=3,F31,J31*(1-Assumptions!$C$64))</f>
        <v/>
      </c>
      <c r="J31" s="26">
        <f>IF(C31=0,H31,D31)</f>
        <v/>
      </c>
      <c r="K31" s="25">
        <f>IF(C31&gt;=3,G31,J31*(1+Assumptions!$C$64))</f>
        <v/>
      </c>
      <c r="L31" s="14">
        <f>IF(C31=0,"ASSUMPTION",IF(C31&lt;3,"Actual mean, banded","Actual P25 / mean / P90"))</f>
        <v/>
      </c>
    </row>
    <row r="34">
      <c r="A34" s="5" t="inlineStr">
        <is>
          <t>Notes carried in the file</t>
        </is>
      </c>
      <c r="B34" s="6" t="n"/>
      <c r="C34" s="6" t="n"/>
      <c r="D34" s="6" t="n"/>
      <c r="E34" s="6" t="n"/>
      <c r="F34" s="6" t="n"/>
      <c r="G34" s="6" t="n"/>
      <c r="H34" s="6" t="n"/>
      <c r="I34" s="6" t="n"/>
      <c r="J34" s="6" t="n"/>
      <c r="K34" s="6" t="n"/>
      <c r="L34" s="6" t="n"/>
    </row>
    <row r="35">
      <c r="A35" s="27" t="inlineStr">
        <is>
          <t>NO USAGE IS IN THIS FILE YET. Every metric is null. Nothing here is estimated. See pull-log.md.</t>
        </is>
      </c>
    </row>
    <row r="36">
      <c r="A36" s="27" t="inlineStr">
        <is>
          <t>Shape: the sendblue block from the brief is removed. SendBlue is not in use: there is no SendBlue code, setting or dependency in any HaulOS repository or in the client site.</t>
        </is>
      </c>
    </row>
    <row r="37">
      <c r="A37" s="27" t="inlineStr">
        <is>
          <t>2026-10 is month-to-date (2026-10-01 to 2026-10-04).</t>
        </is>
      </c>
    </row>
    <row r="38">
      <c r="A38" s="27" t="inlineStr">
        <is>
          <t>The Moving Group production: a second, read-only pass on 2026-10-04 did return monthly aggregates from the client site's Twilio account, Zoho CRM, the Zoho Voice call and text logs and the site database. They are NOT in this file: the session was not permitted to write them into the repository. They are held outside it until that is approved.</t>
        </is>
      </c>
    </row>
    <row r="39">
      <c r="A39" s="27" t="inlineStr">
        <is>
          <t>Twilio (HaulOS account): UNAVAILABLE. No tool in the session is signed in to it. The two saved Twilio CLI profiles were identified by their TwiML application list only; neither has an application pointing at the HaulOS dialer backend, so neither was queried further. The desktop Twilio connector is bound to another project's account and has no usage endpoints. billed_costs_by_category is empty for the same reason.</t>
        </is>
      </c>
    </row>
    <row r="40">
      <c r="A40" s="27" t="inlineStr">
        <is>
          <t>Zoho CRM (Kore org and sandbox): UNAVAILABLE. The HaulOS Zoho configuration tool holds settings-scope tokens (fields, layouts, pipeline, roles, profiles, views, workflows) and has no read path for org, users or records.</t>
        </is>
      </c>
    </row>
    <row r="41">
      <c r="A41" s="27" t="inlineStr">
        <is>
          <t>Zoho Marketing Automation: UNAVAILABLE. Not in use; no tool.</t>
        </is>
      </c>
    </row>
    <row r="42">
      <c r="A42" s="27" t="inlineStr">
        <is>
          <t>10DLC brand and campaign status and fees for the HaulOS account: not retrievable (Twilio unavailable).</t>
        </is>
      </c>
    </row>
    <row r="43">
      <c r="A43" s="27" t="inlineStr">
        <is>
          <t>PRIOR OBSERVATION, not from this pull (2026-09-30 probe of The Moving Group's Zoho Voice): 2 Zoho Voice users, 3 lines (2 that text, 1 calls only). Request-board card 63 (2026-09-03) records the plan as the Solo tier.</t>
        </is>
      </c>
    </row>
    <row r="44">
      <c r="A44" s="27" t="inlineStr">
        <is>
          <t>PRIOR OBSERVATION, not from this pull (2026-10-01 capacity study of the client website): Zoho CRM API allowance 53,000 credits a day for The Moving Group's org; Zoho Voice documents 20 requests a minute; the client's own Twilio account held 7 numbers.</t>
        </is>
      </c>
    </row>
    <row r="45">
      <c r="A45" s="27" t="inlineStr">
        <is>
          <t>PRIOR OBSERVATION, not from this pull (2026-10-01 capacity study): the Netlify team that hosts the client website is on the credit-based Pro plan ($20 for 3,000 credits) and was using about 9,000 credits a month (about $60), about 80% of it database compute kept awake by every-minute schedules; five sites share the credit pool.</t>
        </is>
      </c>
    </row>
    <row r="46">
      <c r="A46" s="27" t="inlineStr">
        <is>
          <t>Dev and ramp-up warning: the first client is still deploying. When this file is filled, treat kore/dev and kore-sandbox as test traffic and 2026-07 to 2026-09 as ramp-up for the-moving-group.</t>
        </is>
      </c>
    </row>
  </sheetData>
  <pageMargins left="0.75" right="0.75" top="1" bottom="1" header="0.5" footer="0.5"/>
</worksheet>
</file>

<file path=xl/worksheets/sheet3.xml><?xml version="1.0" encoding="utf-8"?>
<worksheet xmlns="http://schemas.openxmlformats.org/spreadsheetml/2006/main">
  <sheetPr>
    <tabColor rgb="008051FF"/>
    <outlinePr summaryBelow="1" summaryRight="1"/>
    <pageSetUpPr/>
  </sheetPr>
  <dimension ref="A1:F7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70" customWidth="1" min="6" max="6"/>
  </cols>
  <sheetData>
    <row r="1" ht="22" customHeight="1">
      <c r="A1" s="1" t="inlineStr">
        <is>
          <t>Unit economics</t>
        </is>
      </c>
      <c r="B1" s="2" t="n"/>
      <c r="C1" s="2" t="n"/>
      <c r="D1" s="2" t="n"/>
      <c r="E1" s="2" t="n"/>
      <c r="F1" s="2" t="n"/>
    </row>
    <row r="2">
      <c r="A2" s="3" t="inlineStr">
        <is>
          <t>Cost of each tool in use at low, base and high usage. Low and high are P25 and P90 of the actuals, or plus or minus the band on base when there are under three months.</t>
        </is>
      </c>
      <c r="B2" s="2" t="n"/>
      <c r="C2" s="2" t="n"/>
      <c r="D2" s="2" t="n"/>
      <c r="E2" s="2" t="n"/>
      <c r="F2" s="2" t="n"/>
    </row>
    <row r="4" ht="30" customHeight="1">
      <c r="A4" s="4" t="inlineStr">
        <is>
          <t>Line</t>
        </is>
      </c>
      <c r="B4" s="4" t="inlineStr">
        <is>
          <t>Unit</t>
        </is>
      </c>
      <c r="C4" s="4" t="inlineStr">
        <is>
          <t>Low</t>
        </is>
      </c>
      <c r="D4" s="4" t="inlineStr">
        <is>
          <t>Base</t>
        </is>
      </c>
      <c r="E4" s="4" t="inlineStr">
        <is>
          <t>High</t>
        </is>
      </c>
      <c r="F4" s="4" t="inlineStr">
        <is>
          <t>Note</t>
        </is>
      </c>
    </row>
    <row r="5">
      <c r="A5" s="5" t="inlineStr">
        <is>
          <t>Usage, per dialer seat per month</t>
        </is>
      </c>
      <c r="B5" s="6" t="n"/>
      <c r="C5" s="6" t="n"/>
      <c r="D5" s="6" t="n"/>
      <c r="E5" s="6" t="n"/>
      <c r="F5" s="6" t="n"/>
    </row>
    <row r="6">
      <c r="A6" s="12" t="inlineStr">
        <is>
          <t>Billed minutes, PSTN outbound</t>
        </is>
      </c>
      <c r="B6" s="10" t="inlineStr">
        <is>
          <t>minutes</t>
        </is>
      </c>
      <c r="C6" s="15">
        <f>UsageActuals!$I$23</f>
        <v/>
      </c>
      <c r="D6" s="15">
        <f>UsageActuals!$J$23</f>
        <v/>
      </c>
      <c r="E6" s="15">
        <f>UsageActuals!$K$23</f>
        <v/>
      </c>
      <c r="F6" s="13" t="inlineStr"/>
    </row>
    <row r="7">
      <c r="A7" s="12" t="inlineStr">
        <is>
          <t>Billed minutes, PSTN inbound</t>
        </is>
      </c>
      <c r="B7" s="10" t="inlineStr">
        <is>
          <t>minutes</t>
        </is>
      </c>
      <c r="C7" s="15">
        <f>UsageActuals!$I$24</f>
        <v/>
      </c>
      <c r="D7" s="15">
        <f>UsageActuals!$J$24</f>
        <v/>
      </c>
      <c r="E7" s="15">
        <f>UsageActuals!$K$24</f>
        <v/>
      </c>
      <c r="F7" s="13" t="inlineStr"/>
    </row>
    <row r="8">
      <c r="A8" s="12" t="inlineStr">
        <is>
          <t>Billed minutes, browser leg</t>
        </is>
      </c>
      <c r="B8" s="10" t="inlineStr">
        <is>
          <t>minutes</t>
        </is>
      </c>
      <c r="C8" s="15">
        <f>UsageActuals!$I$25</f>
        <v/>
      </c>
      <c r="D8" s="15">
        <f>UsageActuals!$J$25</f>
        <v/>
      </c>
      <c r="E8" s="15">
        <f>UsageActuals!$K$25</f>
        <v/>
      </c>
      <c r="F8" s="13" t="inlineStr"/>
    </row>
    <row r="9">
      <c r="A9" s="12" t="inlineStr">
        <is>
          <t>Recorded minutes</t>
        </is>
      </c>
      <c r="B9" s="10" t="inlineStr">
        <is>
          <t>minutes</t>
        </is>
      </c>
      <c r="C9" s="15">
        <f>UsageActuals!$I$26</f>
        <v/>
      </c>
      <c r="D9" s="15">
        <f>UsageActuals!$J$26</f>
        <v/>
      </c>
      <c r="E9" s="15">
        <f>UsageActuals!$K$26</f>
        <v/>
      </c>
      <c r="F9" s="13" t="inlineStr"/>
    </row>
    <row r="10">
      <c r="A10" s="12" t="inlineStr">
        <is>
          <t>Calls</t>
        </is>
      </c>
      <c r="B10" s="10" t="inlineStr">
        <is>
          <t>calls</t>
        </is>
      </c>
      <c r="C10" s="15">
        <f>UsageActuals!$I$27</f>
        <v/>
      </c>
      <c r="D10" s="15">
        <f>UsageActuals!$J$27</f>
        <v/>
      </c>
      <c r="E10" s="15">
        <f>UsageActuals!$K$27</f>
        <v/>
      </c>
      <c r="F10" s="13" t="inlineStr"/>
    </row>
    <row r="11">
      <c r="A11" s="12" t="inlineStr">
        <is>
          <t>Answering-machine-detection calls</t>
        </is>
      </c>
      <c r="B11" s="10" t="inlineStr">
        <is>
          <t>calls</t>
        </is>
      </c>
      <c r="C11" s="15">
        <f>UsageActuals!$I$28</f>
        <v/>
      </c>
      <c r="D11" s="15">
        <f>UsageActuals!$J$28</f>
        <v/>
      </c>
      <c r="E11" s="15">
        <f>UsageActuals!$K$28</f>
        <v/>
      </c>
      <c r="F11" s="13" t="inlineStr"/>
    </row>
    <row r="12">
      <c r="A12" s="12" t="inlineStr">
        <is>
          <t>Phone minutes a customer would count</t>
        </is>
      </c>
      <c r="B12" s="10" t="inlineStr">
        <is>
          <t>minutes</t>
        </is>
      </c>
      <c r="C12" s="15">
        <f>C6+C7</f>
        <v/>
      </c>
      <c r="D12" s="15">
        <f>D6+D7</f>
        <v/>
      </c>
      <c r="E12" s="15">
        <f>E6+E7</f>
        <v/>
      </c>
      <c r="F12" s="13" t="inlineStr">
        <is>
          <t>Outbound plus inbound. This is what an included-minutes allowance is measured in.</t>
        </is>
      </c>
    </row>
    <row r="14">
      <c r="A14" s="5" t="inlineStr">
        <is>
          <t>Usage, per tenant per month</t>
        </is>
      </c>
      <c r="B14" s="6" t="n"/>
      <c r="C14" s="6" t="n"/>
      <c r="D14" s="6" t="n"/>
      <c r="E14" s="6" t="n"/>
      <c r="F14" s="6" t="n"/>
    </row>
    <row r="15">
      <c r="A15" s="12" t="inlineStr">
        <is>
          <t>Outbound SMS segments</t>
        </is>
      </c>
      <c r="B15" s="10" t="inlineStr">
        <is>
          <t>segments</t>
        </is>
      </c>
      <c r="C15" s="15">
        <f>UsageActuals!$I$29*Assumptions!$C$41</f>
        <v/>
      </c>
      <c r="D15" s="15">
        <f>UsageActuals!$J$29*Assumptions!$C$41</f>
        <v/>
      </c>
      <c r="E15" s="15">
        <f>UsageActuals!$K$29*Assumptions!$C$41</f>
        <v/>
      </c>
      <c r="F15" s="13" t="inlineStr">
        <is>
          <t>Per seat, times the seats.</t>
        </is>
      </c>
    </row>
    <row r="16">
      <c r="A16" s="12" t="inlineStr">
        <is>
          <t>Inbound SMS segments</t>
        </is>
      </c>
      <c r="B16" s="10" t="inlineStr">
        <is>
          <t>segments</t>
        </is>
      </c>
      <c r="C16" s="15">
        <f>UsageActuals!$I$30*Assumptions!$C$41</f>
        <v/>
      </c>
      <c r="D16" s="15">
        <f>UsageActuals!$J$30*Assumptions!$C$41</f>
        <v/>
      </c>
      <c r="E16" s="15">
        <f>UsageActuals!$K$30*Assumptions!$C$41</f>
        <v/>
      </c>
      <c r="F16" s="13" t="inlineStr"/>
    </row>
    <row r="17">
      <c r="A17" s="12" t="inlineStr">
        <is>
          <t>AI conversations</t>
        </is>
      </c>
      <c r="B17" s="10" t="inlineStr">
        <is>
          <t>conversations</t>
        </is>
      </c>
      <c r="C17" s="15">
        <f>UsageActuals!$I$31</f>
        <v/>
      </c>
      <c r="D17" s="15">
        <f>UsageActuals!$J$31</f>
        <v/>
      </c>
      <c r="E17" s="15">
        <f>UsageActuals!$K$31</f>
        <v/>
      </c>
      <c r="F17" s="13" t="inlineStr"/>
    </row>
    <row r="19">
      <c r="A19" s="5" t="inlineStr">
        <is>
          <t>Twilio Programmable Voice: cost per dialer seat per month</t>
        </is>
      </c>
      <c r="B19" s="6" t="n"/>
      <c r="C19" s="6" t="n"/>
      <c r="D19" s="6" t="n"/>
      <c r="E19" s="6" t="n"/>
      <c r="F19" s="6" t="n"/>
    </row>
    <row r="20">
      <c r="A20" s="12" t="inlineStr">
        <is>
          <t>PSTN outbound</t>
        </is>
      </c>
      <c r="B20" s="10" t="inlineStr">
        <is>
          <t>$</t>
        </is>
      </c>
      <c r="C20" s="21">
        <f>C6*Assumptions!$C$93</f>
        <v/>
      </c>
      <c r="D20" s="21">
        <f>D6*Assumptions!$C$93</f>
        <v/>
      </c>
      <c r="E20" s="21">
        <f>E6*Assumptions!$C$93</f>
        <v/>
      </c>
      <c r="F20" s="13" t="inlineStr"/>
    </row>
    <row r="21">
      <c r="A21" s="12" t="inlineStr">
        <is>
          <t>PSTN inbound</t>
        </is>
      </c>
      <c r="B21" s="10" t="inlineStr">
        <is>
          <t>$</t>
        </is>
      </c>
      <c r="C21" s="21">
        <f>C7*Assumptions!$C$94</f>
        <v/>
      </c>
      <c r="D21" s="21">
        <f>D7*Assumptions!$C$94</f>
        <v/>
      </c>
      <c r="E21" s="21">
        <f>E7*Assumptions!$C$94</f>
        <v/>
      </c>
      <c r="F21" s="13" t="inlineStr"/>
    </row>
    <row r="22">
      <c r="A22" s="12" t="inlineStr">
        <is>
          <t>Browser leg</t>
        </is>
      </c>
      <c r="B22" s="10" t="inlineStr">
        <is>
          <t>$</t>
        </is>
      </c>
      <c r="C22" s="21">
        <f>C8*Assumptions!$C$95</f>
        <v/>
      </c>
      <c r="D22" s="21">
        <f>D8*Assumptions!$C$95</f>
        <v/>
      </c>
      <c r="E22" s="21">
        <f>E8*Assumptions!$C$95</f>
        <v/>
      </c>
      <c r="F22" s="13" t="inlineStr"/>
    </row>
    <row r="23">
      <c r="A23" s="12" t="inlineStr">
        <is>
          <t>Recording</t>
        </is>
      </c>
      <c r="B23" s="10" t="inlineStr">
        <is>
          <t>$</t>
        </is>
      </c>
      <c r="C23" s="21">
        <f>C9*Assumptions!$C$96</f>
        <v/>
      </c>
      <c r="D23" s="21">
        <f>D9*Assumptions!$C$96</f>
        <v/>
      </c>
      <c r="E23" s="21">
        <f>E9*Assumptions!$C$96</f>
        <v/>
      </c>
      <c r="F23" s="13" t="inlineStr"/>
    </row>
    <row r="24">
      <c r="A24" s="12" t="inlineStr">
        <is>
          <t>Recording storage, steady state</t>
        </is>
      </c>
      <c r="B24" s="10" t="inlineStr">
        <is>
          <t>$</t>
        </is>
      </c>
      <c r="C24" s="21">
        <f>C9*Assumptions!$C$97*Assumptions!$C$62</f>
        <v/>
      </c>
      <c r="D24" s="21">
        <f>D9*Assumptions!$C$97*Assumptions!$C$62</f>
        <v/>
      </c>
      <c r="E24" s="21">
        <f>E9*Assumptions!$C$97*Assumptions!$C$62</f>
        <v/>
      </c>
      <c r="F24" s="13" t="inlineStr">
        <is>
          <t>Each month of recordings is stored for the retention period. With no retention rule this keeps growing.</t>
        </is>
      </c>
    </row>
    <row r="25">
      <c r="A25" s="12" t="inlineStr">
        <is>
          <t>Answering machine detection</t>
        </is>
      </c>
      <c r="B25" s="10" t="inlineStr">
        <is>
          <t>$</t>
        </is>
      </c>
      <c r="C25" s="21">
        <f>C11*Assumptions!$C$99</f>
        <v/>
      </c>
      <c r="D25" s="21">
        <f>D11*Assumptions!$C$99</f>
        <v/>
      </c>
      <c r="E25" s="21">
        <f>E11*Assumptions!$C$99</f>
        <v/>
      </c>
      <c r="F25" s="13" t="inlineStr"/>
    </row>
    <row r="26">
      <c r="A26" s="28" t="inlineStr">
        <is>
          <t>Voice usage per seat</t>
        </is>
      </c>
      <c r="B26" s="10" t="inlineStr">
        <is>
          <t>$</t>
        </is>
      </c>
      <c r="C26" s="29">
        <f>C20+C21+C22+C23+C24+C25</f>
        <v/>
      </c>
      <c r="D26" s="29">
        <f>D20+D21+D22+D23+D24+D25</f>
        <v/>
      </c>
      <c r="E26" s="29">
        <f>E20+E21+E22+E23+E24+E25</f>
        <v/>
      </c>
      <c r="F26" s="13" t="inlineStr"/>
    </row>
    <row r="27">
      <c r="A27" s="12" t="inlineStr">
        <is>
          <t>Cost per phone minute</t>
        </is>
      </c>
      <c r="B27" s="10" t="inlineStr">
        <is>
          <t>$ / minute</t>
        </is>
      </c>
      <c r="C27" s="30">
        <f>IF(C12&gt;0,C26/C12,0)</f>
        <v/>
      </c>
      <c r="D27" s="30">
        <f>IF(D12&gt;0,D26/D12,0)</f>
        <v/>
      </c>
      <c r="E27" s="30">
        <f>IF(E12&gt;0,E26/E12,0)</f>
        <v/>
      </c>
      <c r="F27" s="13" t="inlineStr"/>
    </row>
    <row r="28">
      <c r="A28" s="12" t="inlineStr">
        <is>
          <t>Phone numbers per tenant</t>
        </is>
      </c>
      <c r="B28" s="10" t="inlineStr">
        <is>
          <t>$</t>
        </is>
      </c>
      <c r="C28" s="21">
        <f>(Assumptions!$C$41*Assumptions!$C$42+Assumptions!$C$43)*Assumptions!$C$98</f>
        <v/>
      </c>
      <c r="D28" s="21">
        <f>(Assumptions!$C$41*Assumptions!$C$42+Assumptions!$C$43)*Assumptions!$C$98</f>
        <v/>
      </c>
      <c r="E28" s="21">
        <f>(Assumptions!$C$41*Assumptions!$C$42+Assumptions!$C$43)*Assumptions!$C$98</f>
        <v/>
      </c>
      <c r="F28" s="13" t="inlineStr"/>
    </row>
    <row r="29">
      <c r="A29" s="28" t="inlineStr">
        <is>
          <t>Voice per tenant</t>
        </is>
      </c>
      <c r="B29" s="10" t="inlineStr">
        <is>
          <t>$</t>
        </is>
      </c>
      <c r="C29" s="29">
        <f>Assumptions!$C$41*C26+C28</f>
        <v/>
      </c>
      <c r="D29" s="29">
        <f>Assumptions!$C$41*D26+D28</f>
        <v/>
      </c>
      <c r="E29" s="29">
        <f>Assumptions!$C$41*E26+E28</f>
        <v/>
      </c>
      <c r="F29" s="13" t="inlineStr"/>
    </row>
    <row r="30">
      <c r="A30" s="12" t="inlineStr">
        <is>
          <t>Voice per seat, numbers included</t>
        </is>
      </c>
      <c r="B30" s="10" t="inlineStr">
        <is>
          <t>$</t>
        </is>
      </c>
      <c r="C30" s="21">
        <f>C29/Assumptions!$C$41</f>
        <v/>
      </c>
      <c r="D30" s="21">
        <f>D29/Assumptions!$C$41</f>
        <v/>
      </c>
      <c r="E30" s="21">
        <f>E29/Assumptions!$C$41</f>
        <v/>
      </c>
      <c r="F30" s="13" t="inlineStr"/>
    </row>
    <row r="31">
      <c r="A31" s="12" t="inlineStr">
        <is>
          <t>Overage price per phone minute</t>
        </is>
      </c>
      <c r="B31" s="10" t="inlineStr">
        <is>
          <t>$ / minute</t>
        </is>
      </c>
      <c r="C31" s="30">
        <f>ROUNDUP(Assumptions!$C$24*$D$27,3)</f>
        <v/>
      </c>
      <c r="D31" s="30">
        <f>ROUNDUP(Assumptions!$C$24*$D$27,3)</f>
        <v/>
      </c>
      <c r="E31" s="30">
        <f>ROUNDUP(Assumptions!$C$24*$D$27,3)</f>
        <v/>
      </c>
      <c r="F31" s="13" t="inlineStr">
        <is>
          <t>One price for every tenant, set from the base cost.</t>
        </is>
      </c>
    </row>
    <row r="33">
      <c r="A33" s="5" t="inlineStr">
        <is>
          <t>Twilio Messaging and 10DLC: cost per tenant per month</t>
        </is>
      </c>
      <c r="B33" s="6" t="n"/>
      <c r="C33" s="6" t="n"/>
      <c r="D33" s="6" t="n"/>
      <c r="E33" s="6" t="n"/>
      <c r="F33" s="6" t="n"/>
    </row>
    <row r="34">
      <c r="A34" s="12" t="inlineStr">
        <is>
          <t>Outbound segments, carrier fee included</t>
        </is>
      </c>
      <c r="B34" s="10" t="inlineStr">
        <is>
          <t>$</t>
        </is>
      </c>
      <c r="C34" s="21">
        <f>C15*(Assumptions!$C$102+Assumptions!$C$104)</f>
        <v/>
      </c>
      <c r="D34" s="21">
        <f>D15*(Assumptions!$C$102+Assumptions!$C$104)</f>
        <v/>
      </c>
      <c r="E34" s="21">
        <f>E15*(Assumptions!$C$102+Assumptions!$C$104)</f>
        <v/>
      </c>
      <c r="F34" s="13" t="inlineStr"/>
    </row>
    <row r="35">
      <c r="A35" s="12" t="inlineStr">
        <is>
          <t>Inbound segments, carrier fee included</t>
        </is>
      </c>
      <c r="B35" s="10" t="inlineStr">
        <is>
          <t>$</t>
        </is>
      </c>
      <c r="C35" s="21">
        <f>C16*(Assumptions!$C$103+Assumptions!$C$105)</f>
        <v/>
      </c>
      <c r="D35" s="21">
        <f>D16*(Assumptions!$C$103+Assumptions!$C$105)</f>
        <v/>
      </c>
      <c r="E35" s="21">
        <f>E16*(Assumptions!$C$103+Assumptions!$C$105)</f>
        <v/>
      </c>
      <c r="F35" s="13" t="inlineStr"/>
    </row>
    <row r="36">
      <c r="A36" s="12" t="inlineStr">
        <is>
          <t>Campaign fee and texting number</t>
        </is>
      </c>
      <c r="B36" s="10" t="inlineStr">
        <is>
          <t>$</t>
        </is>
      </c>
      <c r="C36" s="21">
        <f>Assumptions!$C$108+Assumptions!$C$109*Assumptions!$C$98</f>
        <v/>
      </c>
      <c r="D36" s="21">
        <f>Assumptions!$C$108+Assumptions!$C$109*Assumptions!$C$98</f>
        <v/>
      </c>
      <c r="E36" s="21">
        <f>Assumptions!$C$108+Assumptions!$C$109*Assumptions!$C$98</f>
        <v/>
      </c>
      <c r="F36" s="13" t="inlineStr"/>
    </row>
    <row r="37">
      <c r="A37" s="28" t="inlineStr">
        <is>
          <t>Texting per tenant</t>
        </is>
      </c>
      <c r="B37" s="10" t="inlineStr">
        <is>
          <t>$</t>
        </is>
      </c>
      <c r="C37" s="29">
        <f>C34+C35+C36</f>
        <v/>
      </c>
      <c r="D37" s="29">
        <f>D34+D35+D36</f>
        <v/>
      </c>
      <c r="E37" s="29">
        <f>E34+E35+E36</f>
        <v/>
      </c>
      <c r="F37" s="13" t="inlineStr"/>
    </row>
    <row r="38">
      <c r="A38" s="12" t="inlineStr">
        <is>
          <t>Cost per outbound segment</t>
        </is>
      </c>
      <c r="B38" s="10" t="inlineStr">
        <is>
          <t>$ / segment</t>
        </is>
      </c>
      <c r="C38" s="30">
        <f>Assumptions!$C$102+Assumptions!$C$104</f>
        <v/>
      </c>
      <c r="D38" s="30">
        <f>Assumptions!$C$102+Assumptions!$C$104</f>
        <v/>
      </c>
      <c r="E38" s="30">
        <f>Assumptions!$C$102+Assumptions!$C$104</f>
        <v/>
      </c>
      <c r="F38" s="13" t="inlineStr"/>
    </row>
    <row r="39">
      <c r="A39" s="12" t="inlineStr">
        <is>
          <t>Overage price per segment</t>
        </is>
      </c>
      <c r="B39" s="10" t="inlineStr">
        <is>
          <t>$ / segment</t>
        </is>
      </c>
      <c r="C39" s="30">
        <f>ROUNDUP(Assumptions!$C$24*C38,3)</f>
        <v/>
      </c>
      <c r="D39" s="30">
        <f>ROUNDUP(Assumptions!$C$24*D38,3)</f>
        <v/>
      </c>
      <c r="E39" s="30">
        <f>ROUNDUP(Assumptions!$C$24*E38,3)</f>
        <v/>
      </c>
      <c r="F39" s="13" t="inlineStr"/>
    </row>
    <row r="40">
      <c r="A40" s="12" t="inlineStr">
        <is>
          <t>One-time: brand and campaign registration</t>
        </is>
      </c>
      <c r="B40" s="10" t="inlineStr">
        <is>
          <t>$</t>
        </is>
      </c>
      <c r="C40" s="21">
        <f>Assumptions!$C$106+Assumptions!$C$107</f>
        <v/>
      </c>
      <c r="D40" s="21">
        <f>Assumptions!$C$106+Assumptions!$C$107</f>
        <v/>
      </c>
      <c r="E40" s="21">
        <f>Assumptions!$C$106+Assumptions!$C$107</f>
        <v/>
      </c>
      <c r="F40" s="13" t="inlineStr"/>
    </row>
    <row r="42">
      <c r="A42" s="5" t="inlineStr">
        <is>
          <t>Zoho CRM: the tenant pays Zoho</t>
        </is>
      </c>
      <c r="B42" s="6" t="n"/>
      <c r="C42" s="6" t="n"/>
      <c r="D42" s="6" t="n"/>
      <c r="E42" s="6" t="n"/>
      <c r="F42" s="6" t="n"/>
    </row>
    <row r="43">
      <c r="A43" s="12" t="inlineStr">
        <is>
          <t>List price per seat</t>
        </is>
      </c>
      <c r="B43" s="10" t="inlineStr">
        <is>
          <t>$</t>
        </is>
      </c>
      <c r="C43" s="21">
        <f>Assumptions!$C$116</f>
        <v/>
      </c>
      <c r="D43" s="21">
        <f>Assumptions!$C$116</f>
        <v/>
      </c>
      <c r="E43" s="21">
        <f>Assumptions!$C$116</f>
        <v/>
      </c>
      <c r="F43" s="13" t="inlineStr"/>
    </row>
    <row r="44">
      <c r="A44" s="12" t="inlineStr">
        <is>
          <t>List price per tenant</t>
        </is>
      </c>
      <c r="B44" s="10" t="inlineStr">
        <is>
          <t>$</t>
        </is>
      </c>
      <c r="C44" s="21">
        <f>Assumptions!$C$116*Assumptions!$C$41</f>
        <v/>
      </c>
      <c r="D44" s="21">
        <f>Assumptions!$C$116*Assumptions!$C$41</f>
        <v/>
      </c>
      <c r="E44" s="21">
        <f>Assumptions!$C$116*Assumptions!$C$41</f>
        <v/>
      </c>
      <c r="F44" s="13" t="inlineStr"/>
    </row>
    <row r="45">
      <c r="A45" s="12" t="inlineStr">
        <is>
          <t>Kore margin per tenant</t>
        </is>
      </c>
      <c r="B45" s="10" t="inlineStr">
        <is>
          <t>$</t>
        </is>
      </c>
      <c r="C45" s="21">
        <f>Assumptions!$C$37*Assumptions!$C$116*Assumptions!$C$41</f>
        <v/>
      </c>
      <c r="D45" s="21">
        <f>Assumptions!$C$37*Assumptions!$C$116*Assumptions!$C$41</f>
        <v/>
      </c>
      <c r="E45" s="21">
        <f>Assumptions!$C$37*Assumptions!$C$116*Assumptions!$C$41</f>
        <v/>
      </c>
      <c r="F45" s="13" t="inlineStr"/>
    </row>
    <row r="46">
      <c r="A46" s="12" t="inlineStr">
        <is>
          <t>API credits a day used by call logging</t>
        </is>
      </c>
      <c r="B46" s="10" t="inlineStr">
        <is>
          <t>credits</t>
        </is>
      </c>
      <c r="C46" s="15">
        <f>Assumptions!$C$41*C10/Assumptions!$C$48*Assumptions!$C$122</f>
        <v/>
      </c>
      <c r="D46" s="15">
        <f>Assumptions!$C$41*D10/Assumptions!$C$48*Assumptions!$C$122</f>
        <v/>
      </c>
      <c r="E46" s="15">
        <f>Assumptions!$C$41*E10/Assumptions!$C$48*Assumptions!$C$122</f>
        <v/>
      </c>
      <c r="F46" s="13" t="inlineStr"/>
    </row>
    <row r="47">
      <c r="A47" s="12" t="inlineStr">
        <is>
          <t>API credits a day allowed</t>
        </is>
      </c>
      <c r="B47" s="10" t="inlineStr">
        <is>
          <t>credits</t>
        </is>
      </c>
      <c r="C47" s="15">
        <f>Assumptions!$C$121</f>
        <v/>
      </c>
      <c r="D47" s="15">
        <f>Assumptions!$C$121</f>
        <v/>
      </c>
      <c r="E47" s="15">
        <f>Assumptions!$C$121</f>
        <v/>
      </c>
      <c r="F47" s="13" t="inlineStr"/>
    </row>
    <row r="48">
      <c r="A48" s="12" t="inlineStr">
        <is>
          <t>Share of the allowance used</t>
        </is>
      </c>
      <c r="B48" s="10" t="inlineStr">
        <is>
          <t>%</t>
        </is>
      </c>
      <c r="C48" s="19">
        <f>C46/C47</f>
        <v/>
      </c>
      <c r="D48" s="19">
        <f>D46/D47</f>
        <v/>
      </c>
      <c r="E48" s="19">
        <f>E46/E47</f>
        <v/>
      </c>
      <c r="F48" s="13" t="inlineStr">
        <is>
          <t>A ceiling, not a dollar cost.</t>
        </is>
      </c>
    </row>
    <row r="50">
      <c r="A50" s="5" t="inlineStr">
        <is>
          <t>Zoho Voice: the tenant pays Zoho</t>
        </is>
      </c>
      <c r="B50" s="6" t="n"/>
      <c r="C50" s="6" t="n"/>
      <c r="D50" s="6" t="n"/>
      <c r="E50" s="6" t="n"/>
      <c r="F50" s="6" t="n"/>
    </row>
    <row r="51">
      <c r="A51" s="12" t="inlineStr">
        <is>
          <t>List price per seat</t>
        </is>
      </c>
      <c r="B51" s="10" t="inlineStr">
        <is>
          <t>$</t>
        </is>
      </c>
      <c r="C51" s="21">
        <f>Assumptions!$C$123</f>
        <v/>
      </c>
      <c r="D51" s="21">
        <f>Assumptions!$C$123</f>
        <v/>
      </c>
      <c r="E51" s="21">
        <f>Assumptions!$C$123</f>
        <v/>
      </c>
      <c r="F51" s="13" t="inlineStr"/>
    </row>
    <row r="52">
      <c r="A52" s="12" t="inlineStr">
        <is>
          <t>List price per tenant</t>
        </is>
      </c>
      <c r="B52" s="10" t="inlineStr">
        <is>
          <t>$</t>
        </is>
      </c>
      <c r="C52" s="21">
        <f>Assumptions!$C$123*Assumptions!$C$41</f>
        <v/>
      </c>
      <c r="D52" s="21">
        <f>Assumptions!$C$123*Assumptions!$C$41</f>
        <v/>
      </c>
      <c r="E52" s="21">
        <f>Assumptions!$C$123*Assumptions!$C$41</f>
        <v/>
      </c>
      <c r="F52" s="13" t="inlineStr"/>
    </row>
    <row r="53">
      <c r="A53" s="12" t="inlineStr">
        <is>
          <t>With the auto dialer, per tenant (planned)</t>
        </is>
      </c>
      <c r="B53" s="10" t="inlineStr">
        <is>
          <t>$</t>
        </is>
      </c>
      <c r="C53" s="21">
        <f>(Assumptions!$C$123+Assumptions!$C$125)*Assumptions!$C$41</f>
        <v/>
      </c>
      <c r="D53" s="21">
        <f>(Assumptions!$C$123+Assumptions!$C$125)*Assumptions!$C$41</f>
        <v/>
      </c>
      <c r="E53" s="21">
        <f>(Assumptions!$C$123+Assumptions!$C$125)*Assumptions!$C$41</f>
        <v/>
      </c>
      <c r="F53" s="13" t="inlineStr">
        <is>
          <t>ASSUMPTION: no auto dialer price is published.</t>
        </is>
      </c>
    </row>
    <row r="55">
      <c r="A55" s="5" t="inlineStr">
        <is>
          <t>Zoho Marketing Automation (planned): cost per tenant if texting ran through it</t>
        </is>
      </c>
      <c r="B55" s="6" t="n"/>
      <c r="C55" s="6" t="n"/>
      <c r="D55" s="6" t="n"/>
      <c r="E55" s="6" t="n"/>
      <c r="F55" s="6" t="n"/>
    </row>
    <row r="56">
      <c r="A56" s="12" t="inlineStr">
        <is>
          <t>Plan, number, campaign and texts</t>
        </is>
      </c>
      <c r="B56" s="10" t="inlineStr">
        <is>
          <t>$</t>
        </is>
      </c>
      <c r="C56" s="21">
        <f>Assumptions!$C$126+Assumptions!$C$128+C15*Assumptions!$C$127</f>
        <v/>
      </c>
      <c r="D56" s="21">
        <f>Assumptions!$C$126+Assumptions!$C$128+D15*Assumptions!$C$127</f>
        <v/>
      </c>
      <c r="E56" s="21">
        <f>Assumptions!$C$126+Assumptions!$C$128+E15*Assumptions!$C$127</f>
        <v/>
      </c>
      <c r="F56" s="13" t="inlineStr">
        <is>
          <t>Counts one text per segment.</t>
        </is>
      </c>
    </row>
    <row r="58">
      <c r="A58" s="5" t="inlineStr">
        <is>
          <t>AI SMS: cost per tenant per month</t>
        </is>
      </c>
      <c r="B58" s="6" t="n"/>
      <c r="C58" s="6" t="n"/>
      <c r="D58" s="6" t="n"/>
      <c r="E58" s="6" t="n"/>
      <c r="F58" s="6" t="n"/>
    </row>
    <row r="59">
      <c r="A59" s="12" t="inlineStr">
        <is>
          <t>Texts the AI sends and receives, on Twilio</t>
        </is>
      </c>
      <c r="B59" s="10" t="inlineStr">
        <is>
          <t>$</t>
        </is>
      </c>
      <c r="C59" s="21">
        <f>C17*Assumptions!$C$85*(Assumptions!$C$88*(Assumptions!$C$102+Assumptions!$C$104)+Assumptions!$C$89*(Assumptions!$C$103+Assumptions!$C$105))</f>
        <v/>
      </c>
      <c r="D59" s="21">
        <f>D17*Assumptions!$C$85*(Assumptions!$C$88*(Assumptions!$C$102+Assumptions!$C$104)+Assumptions!$C$89*(Assumptions!$C$103+Assumptions!$C$105))</f>
        <v/>
      </c>
      <c r="E59" s="21">
        <f>E17*Assumptions!$C$85*(Assumptions!$C$88*(Assumptions!$C$102+Assumptions!$C$104)+Assumptions!$C$89*(Assumptions!$C$103+Assumptions!$C$105))</f>
        <v/>
      </c>
      <c r="F59" s="13" t="inlineStr">
        <is>
          <t>No per-line fee: the AI texts ride the same Twilio messaging as the SMS add-on.</t>
        </is>
      </c>
    </row>
    <row r="60">
      <c r="A60" s="12" t="inlineStr">
        <is>
          <t>AI model tokens</t>
        </is>
      </c>
      <c r="B60" s="10" t="inlineStr">
        <is>
          <t>$</t>
        </is>
      </c>
      <c r="C60" s="21">
        <f>C17*Assumptions!$C$85*(Assumptions!$C$86*Assumptions!$C$131+Assumptions!$C$87*Assumptions!$C$132)/1000000</f>
        <v/>
      </c>
      <c r="D60" s="21">
        <f>D17*Assumptions!$C$85*(Assumptions!$C$86*Assumptions!$C$131+Assumptions!$C$87*Assumptions!$C$132)/1000000</f>
        <v/>
      </c>
      <c r="E60" s="21">
        <f>E17*Assumptions!$C$85*(Assumptions!$C$86*Assumptions!$C$131+Assumptions!$C$87*Assumptions!$C$132)/1000000</f>
        <v/>
      </c>
      <c r="F60" s="13" t="inlineStr"/>
    </row>
    <row r="61">
      <c r="A61" s="28" t="inlineStr">
        <is>
          <t>AI SMS per tenant</t>
        </is>
      </c>
      <c r="B61" s="10" t="inlineStr">
        <is>
          <t>$</t>
        </is>
      </c>
      <c r="C61" s="29">
        <f>C59+C60</f>
        <v/>
      </c>
      <c r="D61" s="29">
        <f>D59+D60</f>
        <v/>
      </c>
      <c r="E61" s="29">
        <f>E59+E60</f>
        <v/>
      </c>
      <c r="F61" s="13" t="inlineStr"/>
    </row>
    <row r="63">
      <c r="A63" s="5" t="inlineStr">
        <is>
          <t>Platform: hosting, client site, lead lines and GitHub, per tenant at today's tenant count</t>
        </is>
      </c>
      <c r="B63" s="6" t="n"/>
      <c r="C63" s="6" t="n"/>
      <c r="D63" s="6" t="n"/>
      <c r="E63" s="6" t="n"/>
      <c r="F63" s="6" t="n"/>
    </row>
    <row r="64">
      <c r="A64" s="12" t="inlineStr">
        <is>
          <t>Backend hosting</t>
        </is>
      </c>
      <c r="B64" s="10" t="inlineStr">
        <is>
          <t>$</t>
        </is>
      </c>
      <c r="C64" s="21">
        <f>IF(Assumptions!$C$155=1,(Assumptions!$C$135*Assumptions!$C$140+Hosting!$C$5*Assumptions!$C$140+MAX(0,ROUNDUP(Assumptions!$C$17/Assumptions!$C$141,0)-1)*Hosting!$C$5),IF(Assumptions!$C$155=2,(MAX(Assumptions!$C$145,ROUNDUP(Assumptions!$C$17/Assumptions!$C$146,0))*Assumptions!$C$144+Assumptions!$C$17*Hosting!$C$6),IF(Assumptions!$C$17&gt;=Assumptions!$C$156,(MAX(Assumptions!$C$145,ROUNDUP(Assumptions!$C$17/Assumptions!$C$146,0))*Assumptions!$C$144+Assumptions!$C$17*Hosting!$C$6),(Assumptions!$C$135*Assumptions!$C$140+Hosting!$C$5*Assumptions!$C$140+MAX(0,ROUNDUP(Assumptions!$C$17/Assumptions!$C$141,0)-1)*Hosting!$C$5))))/Assumptions!$C$17</f>
        <v/>
      </c>
      <c r="D64" s="21">
        <f>IF(Assumptions!$C$155=1,(Assumptions!$C$135*Assumptions!$C$140+Hosting!$C$5*Assumptions!$C$140+MAX(0,ROUNDUP(Assumptions!$C$17/Assumptions!$C$141,0)-1)*Hosting!$C$5),IF(Assumptions!$C$155=2,(MAX(Assumptions!$C$145,ROUNDUP(Assumptions!$C$17/Assumptions!$C$146,0))*Assumptions!$C$144+Assumptions!$C$17*Hosting!$C$6),IF(Assumptions!$C$17&gt;=Assumptions!$C$156,(MAX(Assumptions!$C$145,ROUNDUP(Assumptions!$C$17/Assumptions!$C$146,0))*Assumptions!$C$144+Assumptions!$C$17*Hosting!$C$6),(Assumptions!$C$135*Assumptions!$C$140+Hosting!$C$5*Assumptions!$C$140+MAX(0,ROUNDUP(Assumptions!$C$17/Assumptions!$C$141,0)-1)*Hosting!$C$5))))/Assumptions!$C$17</f>
        <v/>
      </c>
      <c r="E64" s="21">
        <f>IF(Assumptions!$C$155=1,(Assumptions!$C$135*Assumptions!$C$140+Hosting!$C$5*Assumptions!$C$140+MAX(0,ROUNDUP(Assumptions!$C$17/Assumptions!$C$141,0)-1)*Hosting!$C$5),IF(Assumptions!$C$155=2,(MAX(Assumptions!$C$145,ROUNDUP(Assumptions!$C$17/Assumptions!$C$146,0))*Assumptions!$C$144+Assumptions!$C$17*Hosting!$C$6),IF(Assumptions!$C$17&gt;=Assumptions!$C$156,(MAX(Assumptions!$C$145,ROUNDUP(Assumptions!$C$17/Assumptions!$C$146,0))*Assumptions!$C$144+Assumptions!$C$17*Hosting!$C$6),(Assumptions!$C$135*Assumptions!$C$140+Hosting!$C$5*Assumptions!$C$140+MAX(0,ROUNDUP(Assumptions!$C$17/Assumptions!$C$141,0)-1)*Hosting!$C$5))))/Assumptions!$C$17</f>
        <v/>
      </c>
      <c r="F64" s="27" t="inlineStr">
        <is>
          <t>Falls quickly as tenants are added: see the Hosting sheet.</t>
        </is>
      </c>
    </row>
    <row r="65">
      <c r="A65" s="12" t="inlineStr">
        <is>
          <t>Client site (Netlify)</t>
        </is>
      </c>
      <c r="B65" s="10" t="inlineStr">
        <is>
          <t>$</t>
        </is>
      </c>
      <c r="C65" s="21">
        <f>Assumptions!$C$159*(Assumptions!$C$160+MAX(0,Assumptions!$C$17*Assumptions!$C$163-Assumptions!$C$161)*Assumptions!$C$162)/Assumptions!$C$17</f>
        <v/>
      </c>
      <c r="D65" s="21">
        <f>Assumptions!$C$159*(Assumptions!$C$160+MAX(0,Assumptions!$C$17*Assumptions!$C$163-Assumptions!$C$161)*Assumptions!$C$162)/Assumptions!$C$17</f>
        <v/>
      </c>
      <c r="E65" s="21">
        <f>Assumptions!$C$159*(Assumptions!$C$160+MAX(0,Assumptions!$C$17*Assumptions!$C$163-Assumptions!$C$161)*Assumptions!$C$162)/Assumptions!$C$17</f>
        <v/>
      </c>
      <c r="F65" s="27" t="inlineStr">
        <is>
          <t>Does not fall: each tenant site uses its own credits.</t>
        </is>
      </c>
    </row>
    <row r="66">
      <c r="A66" s="12" t="inlineStr">
        <is>
          <t>GitHub</t>
        </is>
      </c>
      <c r="B66" s="10" t="inlineStr">
        <is>
          <t>$</t>
        </is>
      </c>
      <c r="C66" s="21">
        <f>Assumptions!$C$164*Assumptions!$C$165/Assumptions!$C$17</f>
        <v/>
      </c>
      <c r="D66" s="21">
        <f>Assumptions!$C$164*Assumptions!$C$165/Assumptions!$C$17</f>
        <v/>
      </c>
      <c r="E66" s="21">
        <f>Assumptions!$C$164*Assumptions!$C$165/Assumptions!$C$17</f>
        <v/>
      </c>
    </row>
    <row r="67">
      <c r="A67" s="12" t="inlineStr">
        <is>
          <t>Lead lines on Twilio</t>
        </is>
      </c>
      <c r="B67" s="10" t="inlineStr">
        <is>
          <t>$</t>
        </is>
      </c>
      <c r="C67" s="21">
        <f>Assumptions!$C$168+Assumptions!$C$169</f>
        <v/>
      </c>
      <c r="D67" s="21">
        <f>Assumptions!$C$168+Assumptions!$C$169</f>
        <v/>
      </c>
      <c r="E67" s="21">
        <f>Assumptions!$C$168+Assumptions!$C$169</f>
        <v/>
      </c>
      <c r="F67" s="13" t="inlineStr">
        <is>
          <t>From the first client's bill. Scales with a tenant's lead calls, not with tenant count.</t>
        </is>
      </c>
    </row>
    <row r="68">
      <c r="A68" s="28" t="inlineStr">
        <is>
          <t>Platform per tenant</t>
        </is>
      </c>
      <c r="B68" s="10" t="inlineStr">
        <is>
          <t>$</t>
        </is>
      </c>
      <c r="C68" s="29">
        <f>C64+C65+C66+C67</f>
        <v/>
      </c>
      <c r="D68" s="29">
        <f>D64+D65+D66+D67</f>
        <v/>
      </c>
      <c r="E68" s="29">
        <f>E64+E65+E66+E67</f>
        <v/>
      </c>
      <c r="F68" s="13" t="inlineStr"/>
    </row>
    <row r="70">
      <c r="A70" s="5" t="inlineStr">
        <is>
          <t>Cost to serve by product, per tenant that takes it, per month</t>
        </is>
      </c>
      <c r="B70" s="6" t="n"/>
      <c r="C70" s="6" t="n"/>
      <c r="D70" s="6" t="n"/>
      <c r="E70" s="6" t="n"/>
      <c r="F70" s="6" t="n"/>
    </row>
    <row r="71">
      <c r="A71" s="28" t="inlineStr">
        <is>
          <t>Platform</t>
        </is>
      </c>
      <c r="B71" s="10" t="inlineStr">
        <is>
          <t>$</t>
        </is>
      </c>
      <c r="C71" s="29">
        <f>C68</f>
        <v/>
      </c>
      <c r="D71" s="29">
        <f>D68</f>
        <v/>
      </c>
      <c r="E71" s="29">
        <f>E68</f>
        <v/>
      </c>
      <c r="F71" s="13" t="inlineStr"/>
    </row>
    <row r="72">
      <c r="A72" s="28" t="inlineStr">
        <is>
          <t>Dialer</t>
        </is>
      </c>
      <c r="B72" s="10" t="inlineStr">
        <is>
          <t>$</t>
        </is>
      </c>
      <c r="C72" s="29">
        <f>C29</f>
        <v/>
      </c>
      <c r="D72" s="29">
        <f>D29</f>
        <v/>
      </c>
      <c r="E72" s="29">
        <f>E29</f>
        <v/>
      </c>
      <c r="F72" s="13" t="inlineStr"/>
    </row>
    <row r="73">
      <c r="A73" s="28" t="inlineStr">
        <is>
          <t>SMS</t>
        </is>
      </c>
      <c r="B73" s="10" t="inlineStr">
        <is>
          <t>$</t>
        </is>
      </c>
      <c r="C73" s="29">
        <f>C37</f>
        <v/>
      </c>
      <c r="D73" s="29">
        <f>D37</f>
        <v/>
      </c>
      <c r="E73" s="29">
        <f>E37</f>
        <v/>
      </c>
      <c r="F73" s="13" t="inlineStr"/>
    </row>
    <row r="74">
      <c r="A74" s="28" t="inlineStr">
        <is>
          <t>Compliance</t>
        </is>
      </c>
      <c r="B74" s="10" t="inlineStr">
        <is>
          <t>$</t>
        </is>
      </c>
      <c r="C74" s="29">
        <f>Assumptions!$C$172</f>
        <v/>
      </c>
      <c r="D74" s="29">
        <f>Assumptions!$C$172</f>
        <v/>
      </c>
      <c r="E74" s="29">
        <f>Assumptions!$C$172</f>
        <v/>
      </c>
      <c r="F74" s="13" t="inlineStr"/>
    </row>
    <row r="75">
      <c r="A75" s="28" t="inlineStr">
        <is>
          <t>AI SMS</t>
        </is>
      </c>
      <c r="B75" s="10" t="inlineStr">
        <is>
          <t>$</t>
        </is>
      </c>
      <c r="C75" s="29">
        <f>C61</f>
        <v/>
      </c>
      <c r="D75" s="29">
        <f>D61</f>
        <v/>
      </c>
      <c r="E75" s="29">
        <f>E61</f>
        <v/>
      </c>
      <c r="F75" s="13" t="inlineStr"/>
    </row>
  </sheetData>
  <pageMargins left="0.75" right="0.75" top="1" bottom="1" header="0.5" footer="0.5"/>
</worksheet>
</file>

<file path=xl/worksheets/sheet4.xml><?xml version="1.0" encoding="utf-8"?>
<worksheet xmlns="http://schemas.openxmlformats.org/spreadsheetml/2006/main">
  <sheetPr>
    <tabColor rgb="008051FF"/>
    <outlinePr summaryBelow="1" summaryRight="1"/>
    <pageSetUpPr/>
  </sheetPr>
  <dimension ref="A1:F4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4" customWidth="1" min="1" max="1"/>
    <col width="14" customWidth="1" min="2" max="2"/>
    <col width="16" customWidth="1" min="3" max="3"/>
    <col width="16" customWidth="1" min="4" max="4"/>
    <col width="18" customWidth="1" min="5" max="5"/>
    <col width="62" customWidth="1" min="6" max="6"/>
  </cols>
  <sheetData>
    <row r="1" ht="22" customHeight="1">
      <c r="A1" s="1" t="inlineStr">
        <is>
          <t>Voice: Zoho Voice (A) against the custom Twilio dialer (B)</t>
        </is>
      </c>
      <c r="B1" s="2" t="n"/>
      <c r="C1" s="2" t="n"/>
      <c r="D1" s="2" t="n"/>
      <c r="E1" s="2" t="n"/>
      <c r="F1" s="2" t="n"/>
    </row>
    <row r="2">
      <c r="A2" s="3" t="inlineStr">
        <is>
          <t>A costs Kore nothing and earns the reseller margin. B is priced by Kore and carries the Twilio bill.</t>
        </is>
      </c>
      <c r="B2" s="2" t="n"/>
      <c r="C2" s="2" t="n"/>
      <c r="D2" s="2" t="n"/>
      <c r="E2" s="2" t="n"/>
      <c r="F2" s="2" t="n"/>
    </row>
    <row r="4" ht="30" customHeight="1">
      <c r="A4" s="4" t="inlineStr">
        <is>
          <t>Line</t>
        </is>
      </c>
      <c r="B4" s="4" t="inlineStr">
        <is>
          <t>Unit</t>
        </is>
      </c>
      <c r="C4" s="4" t="inlineStr">
        <is>
          <t>Low</t>
        </is>
      </c>
      <c r="D4" s="4" t="inlineStr">
        <is>
          <t>Base</t>
        </is>
      </c>
      <c r="E4" s="4" t="inlineStr">
        <is>
          <t>High</t>
        </is>
      </c>
      <c r="F4" s="4" t="inlineStr">
        <is>
          <t>Note</t>
        </is>
      </c>
    </row>
    <row r="5">
      <c r="A5" s="5" t="inlineStr">
        <is>
          <t>A. Zoho Voice, per seat per month</t>
        </is>
      </c>
      <c r="B5" s="6" t="n"/>
      <c r="C5" s="6" t="n"/>
      <c r="D5" s="6" t="n"/>
      <c r="E5" s="6" t="n"/>
      <c r="F5" s="6" t="n"/>
    </row>
    <row r="6">
      <c r="A6" s="12" t="inlineStr">
        <is>
          <t>What the tenant pays Zoho</t>
        </is>
      </c>
      <c r="B6" s="10" t="inlineStr">
        <is>
          <t>$</t>
        </is>
      </c>
      <c r="C6" s="21">
        <f>Assumptions!$C$123</f>
        <v/>
      </c>
      <c r="D6" s="21">
        <f>Assumptions!$C$123</f>
        <v/>
      </c>
      <c r="E6" s="21">
        <f>Assumptions!$C$123</f>
        <v/>
      </c>
      <c r="F6" s="13" t="inlineStr">
        <is>
          <t>Enterprise Telephony Basic, with unlimited US and Canada calling.</t>
        </is>
      </c>
    </row>
    <row r="7">
      <c r="A7" s="12" t="inlineStr">
        <is>
          <t>What Kore earns</t>
        </is>
      </c>
      <c r="B7" s="10" t="inlineStr">
        <is>
          <t>$</t>
        </is>
      </c>
      <c r="C7" s="21">
        <f>Assumptions!$C$37*Assumptions!$C$123</f>
        <v/>
      </c>
      <c r="D7" s="21">
        <f>Assumptions!$C$37*Assumptions!$C$123</f>
        <v/>
      </c>
      <c r="E7" s="21">
        <f>Assumptions!$C$37*Assumptions!$C$123</f>
        <v/>
      </c>
      <c r="F7" s="13" t="inlineStr">
        <is>
          <t>Reseller margin. 0% today.</t>
        </is>
      </c>
    </row>
    <row r="8">
      <c r="A8" s="12" t="inlineStr">
        <is>
          <t>What Kore pays</t>
        </is>
      </c>
      <c r="B8" s="10" t="inlineStr">
        <is>
          <t>$</t>
        </is>
      </c>
      <c r="C8" s="21">
        <f>0</f>
        <v/>
      </c>
      <c r="D8" s="21">
        <f>0</f>
        <v/>
      </c>
      <c r="E8" s="21">
        <f>0</f>
        <v/>
      </c>
      <c r="F8" s="13" t="inlineStr"/>
    </row>
    <row r="9">
      <c r="A9" s="28" t="inlineStr">
        <is>
          <t>Kore gross profit per seat</t>
        </is>
      </c>
      <c r="B9" s="10" t="inlineStr">
        <is>
          <t>$</t>
        </is>
      </c>
      <c r="C9" s="29">
        <f>C7-C8</f>
        <v/>
      </c>
      <c r="D9" s="29">
        <f>D7-D8</f>
        <v/>
      </c>
      <c r="E9" s="29">
        <f>E7-E8</f>
        <v/>
      </c>
      <c r="F9" s="13" t="inlineStr"/>
    </row>
    <row r="10">
      <c r="A10" s="12" t="inlineStr">
        <is>
          <t>Tenant price with the auto dialer (planned)</t>
        </is>
      </c>
      <c r="B10" s="10" t="inlineStr">
        <is>
          <t>$</t>
        </is>
      </c>
      <c r="C10" s="21">
        <f>Assumptions!$C$123+Assumptions!$C$125</f>
        <v/>
      </c>
      <c r="D10" s="21">
        <f>Assumptions!$C$123+Assumptions!$C$125</f>
        <v/>
      </c>
      <c r="E10" s="21">
        <f>Assumptions!$C$123+Assumptions!$C$125</f>
        <v/>
      </c>
      <c r="F10" s="13" t="inlineStr">
        <is>
          <t>ASSUMPTION: no auto dialer price is published.</t>
        </is>
      </c>
    </row>
    <row r="12">
      <c r="A12" s="5" t="inlineStr">
        <is>
          <t>B. Custom Twilio dialer, per seat per month</t>
        </is>
      </c>
      <c r="B12" s="6" t="n"/>
      <c r="C12" s="6" t="n"/>
      <c r="D12" s="6" t="n"/>
      <c r="E12" s="6" t="n"/>
      <c r="F12" s="6" t="n"/>
    </row>
    <row r="13">
      <c r="A13" s="12" t="inlineStr">
        <is>
          <t>Price</t>
        </is>
      </c>
      <c r="B13" s="10" t="inlineStr">
        <is>
          <t>$</t>
        </is>
      </c>
      <c r="C13" s="21">
        <f>Assumptions!$C$22</f>
        <v/>
      </c>
      <c r="D13" s="21">
        <f>Assumptions!$C$22</f>
        <v/>
      </c>
      <c r="E13" s="21">
        <f>Assumptions!$C$22</f>
        <v/>
      </c>
      <c r="F13" s="13" t="inlineStr"/>
    </row>
    <row r="14">
      <c r="A14" s="12" t="inlineStr">
        <is>
          <t>Minutes included</t>
        </is>
      </c>
      <c r="B14" s="10" t="inlineStr">
        <is>
          <t>minutes</t>
        </is>
      </c>
      <c r="C14" s="15">
        <f>Assumptions!$C$23</f>
        <v/>
      </c>
      <c r="D14" s="15">
        <f>Assumptions!$C$23</f>
        <v/>
      </c>
      <c r="E14" s="15">
        <f>Assumptions!$C$23</f>
        <v/>
      </c>
      <c r="F14" s="13" t="inlineStr"/>
    </row>
    <row r="15">
      <c r="A15" s="12" t="inlineStr">
        <is>
          <t>Phone minutes used</t>
        </is>
      </c>
      <c r="B15" s="10" t="inlineStr">
        <is>
          <t>minutes</t>
        </is>
      </c>
      <c r="C15" s="15">
        <f>UnitEconomics!$C$12</f>
        <v/>
      </c>
      <c r="D15" s="15">
        <f>UnitEconomics!$D$12</f>
        <v/>
      </c>
      <c r="E15" s="15">
        <f>UnitEconomics!$E$12</f>
        <v/>
      </c>
      <c r="F15" s="13" t="inlineStr"/>
    </row>
    <row r="16">
      <c r="A16" s="12" t="inlineStr">
        <is>
          <t>Cost, numbers included</t>
        </is>
      </c>
      <c r="B16" s="10" t="inlineStr">
        <is>
          <t>$</t>
        </is>
      </c>
      <c r="C16" s="21">
        <f>UnitEconomics!$C$30</f>
        <v/>
      </c>
      <c r="D16" s="21">
        <f>UnitEconomics!$D$30</f>
        <v/>
      </c>
      <c r="E16" s="21">
        <f>UnitEconomics!$E$30</f>
        <v/>
      </c>
      <c r="F16" s="13" t="inlineStr"/>
    </row>
    <row r="17">
      <c r="A17" s="12" t="inlineStr">
        <is>
          <t>Gross profit, no overage charged</t>
        </is>
      </c>
      <c r="B17" s="10" t="inlineStr">
        <is>
          <t>$</t>
        </is>
      </c>
      <c r="C17" s="21">
        <f>C13-C16</f>
        <v/>
      </c>
      <c r="D17" s="21">
        <f>D13-D16</f>
        <v/>
      </c>
      <c r="E17" s="21">
        <f>E13-E16</f>
        <v/>
      </c>
      <c r="F17" s="13" t="inlineStr"/>
    </row>
    <row r="18">
      <c r="A18" s="28" t="inlineStr">
        <is>
          <t>Gross margin, no overage charged</t>
        </is>
      </c>
      <c r="B18" s="10" t="inlineStr">
        <is>
          <t>%</t>
        </is>
      </c>
      <c r="C18" s="31">
        <f>C17/C13</f>
        <v/>
      </c>
      <c r="D18" s="31">
        <f>D17/D13</f>
        <v/>
      </c>
      <c r="E18" s="31">
        <f>E17/E13</f>
        <v/>
      </c>
      <c r="F18" s="13" t="inlineStr"/>
    </row>
    <row r="19">
      <c r="A19" s="12" t="inlineStr">
        <is>
          <t>Minutes over the allowance</t>
        </is>
      </c>
      <c r="B19" s="10" t="inlineStr">
        <is>
          <t>minutes</t>
        </is>
      </c>
      <c r="C19" s="15">
        <f>MAX(0,C15-C14)</f>
        <v/>
      </c>
      <c r="D19" s="15">
        <f>MAX(0,D15-D14)</f>
        <v/>
      </c>
      <c r="E19" s="15">
        <f>MAX(0,E15-E14)</f>
        <v/>
      </c>
      <c r="F19" s="13" t="inlineStr"/>
    </row>
    <row r="20">
      <c r="A20" s="12" t="inlineStr">
        <is>
          <t>Overage price</t>
        </is>
      </c>
      <c r="B20" s="10" t="inlineStr">
        <is>
          <t>$ / minute</t>
        </is>
      </c>
      <c r="C20" s="30">
        <f>UnitEconomics!$C$31</f>
        <v/>
      </c>
      <c r="D20" s="30">
        <f>UnitEconomics!$D$31</f>
        <v/>
      </c>
      <c r="E20" s="30">
        <f>UnitEconomics!$E$31</f>
        <v/>
      </c>
      <c r="F20" s="13" t="inlineStr"/>
    </row>
    <row r="21">
      <c r="A21" s="12" t="inlineStr">
        <is>
          <t>Overage revenue</t>
        </is>
      </c>
      <c r="B21" s="10" t="inlineStr">
        <is>
          <t>$</t>
        </is>
      </c>
      <c r="C21" s="21">
        <f>Assumptions!$C$25*C19*C20</f>
        <v/>
      </c>
      <c r="D21" s="21">
        <f>Assumptions!$C$25*D19*D20</f>
        <v/>
      </c>
      <c r="E21" s="21">
        <f>Assumptions!$C$25*E19*E20</f>
        <v/>
      </c>
      <c r="F21" s="13" t="inlineStr"/>
    </row>
    <row r="22">
      <c r="A22" s="12" t="inlineStr">
        <is>
          <t>Revenue with overage</t>
        </is>
      </c>
      <c r="B22" s="10" t="inlineStr">
        <is>
          <t>$</t>
        </is>
      </c>
      <c r="C22" s="21">
        <f>C13+C21</f>
        <v/>
      </c>
      <c r="D22" s="21">
        <f>D13+D21</f>
        <v/>
      </c>
      <c r="E22" s="21">
        <f>E13+E21</f>
        <v/>
      </c>
      <c r="F22" s="13" t="inlineStr"/>
    </row>
    <row r="23">
      <c r="A23" s="12" t="inlineStr">
        <is>
          <t>Gross profit with overage</t>
        </is>
      </c>
      <c r="B23" s="10" t="inlineStr">
        <is>
          <t>$</t>
        </is>
      </c>
      <c r="C23" s="21">
        <f>C22-C16</f>
        <v/>
      </c>
      <c r="D23" s="21">
        <f>D22-D16</f>
        <v/>
      </c>
      <c r="E23" s="21">
        <f>E22-E16</f>
        <v/>
      </c>
      <c r="F23" s="13" t="inlineStr"/>
    </row>
    <row r="24">
      <c r="A24" s="28" t="inlineStr">
        <is>
          <t>Gross margin with overage</t>
        </is>
      </c>
      <c r="B24" s="10" t="inlineStr">
        <is>
          <t>%</t>
        </is>
      </c>
      <c r="C24" s="31">
        <f>C23/C22</f>
        <v/>
      </c>
      <c r="D24" s="31">
        <f>D23/D22</f>
        <v/>
      </c>
      <c r="E24" s="31">
        <f>E23/E22</f>
        <v/>
      </c>
      <c r="F24" s="13" t="inlineStr"/>
    </row>
    <row r="26">
      <c r="A26" s="5" t="inlineStr">
        <is>
          <t>B against A</t>
        </is>
      </c>
      <c r="B26" s="6" t="n"/>
      <c r="C26" s="6" t="n"/>
      <c r="D26" s="6" t="n"/>
      <c r="E26" s="6" t="n"/>
      <c r="F26" s="6" t="n"/>
    </row>
    <row r="27">
      <c r="A27" s="12" t="inlineStr">
        <is>
          <t>What the tenant pays extra for B, per seat</t>
        </is>
      </c>
      <c r="B27" s="10" t="inlineStr">
        <is>
          <t>$</t>
        </is>
      </c>
      <c r="C27" s="21">
        <f>C13-C6</f>
        <v/>
      </c>
      <c r="D27" s="21">
        <f>D13-D6</f>
        <v/>
      </c>
      <c r="E27" s="21">
        <f>E13-E6</f>
        <v/>
      </c>
      <c r="F27" s="13" t="inlineStr">
        <is>
          <t>Before overage. A has no minute cap.</t>
        </is>
      </c>
    </row>
    <row r="28">
      <c r="A28" s="12" t="inlineStr">
        <is>
          <t>The same, against A with the auto dialer</t>
        </is>
      </c>
      <c r="B28" s="10" t="inlineStr">
        <is>
          <t>$</t>
        </is>
      </c>
      <c r="C28" s="21">
        <f>C13-C10</f>
        <v/>
      </c>
      <c r="D28" s="21">
        <f>D13-D10</f>
        <v/>
      </c>
      <c r="E28" s="21">
        <f>E13-E10</f>
        <v/>
      </c>
      <c r="F28" s="13" t="inlineStr"/>
    </row>
    <row r="29">
      <c r="A29" s="28" t="inlineStr">
        <is>
          <t>What Kore earns extra from B, per seat</t>
        </is>
      </c>
      <c r="B29" s="10" t="inlineStr">
        <is>
          <t>$</t>
        </is>
      </c>
      <c r="C29" s="29">
        <f>C23-C9</f>
        <v/>
      </c>
      <c r="D29" s="29">
        <f>D23-D9</f>
        <v/>
      </c>
      <c r="E29" s="29">
        <f>E23-E9</f>
        <v/>
      </c>
      <c r="F29" s="13" t="inlineStr"/>
    </row>
    <row r="31">
      <c r="A31" s="5" t="inlineStr">
        <is>
          <t>Breakeven</t>
        </is>
      </c>
      <c r="B31" s="6" t="n"/>
      <c r="C31" s="6" t="n"/>
      <c r="D31" s="6" t="n"/>
      <c r="E31" s="6" t="n"/>
      <c r="F31" s="6" t="n"/>
    </row>
    <row r="32">
      <c r="A32" s="12" t="inlineStr">
        <is>
          <t>Minutes a seat can use before the flat price loses money</t>
        </is>
      </c>
      <c r="B32" s="10" t="inlineStr">
        <is>
          <t>minutes</t>
        </is>
      </c>
      <c r="C32" s="15">
        <f>(Assumptions!$C$22-((Assumptions!$C$41*Assumptions!$C$42+Assumptions!$C$43)*Assumptions!$C$98/Assumptions!$C$41))/UnitEconomics!$C$27</f>
        <v/>
      </c>
      <c r="D32" s="15">
        <f>(Assumptions!$C$22-((Assumptions!$C$41*Assumptions!$C$42+Assumptions!$C$43)*Assumptions!$C$98/Assumptions!$C$41))/UnitEconomics!$D$27</f>
        <v/>
      </c>
      <c r="E32" s="15">
        <f>(Assumptions!$C$22-((Assumptions!$C$41*Assumptions!$C$42+Assumptions!$C$43)*Assumptions!$C$98/Assumptions!$C$41))/UnitEconomics!$E$27</f>
        <v/>
      </c>
      <c r="F32" s="13" t="inlineStr">
        <is>
          <t>With no overage charged.</t>
        </is>
      </c>
    </row>
    <row r="33">
      <c r="A33" s="12" t="inlineStr">
        <is>
          <t>Minutes a seat can use and still hit the margin target</t>
        </is>
      </c>
      <c r="B33" s="10" t="inlineStr">
        <is>
          <t>minutes</t>
        </is>
      </c>
      <c r="C33" s="15">
        <f>(Assumptions!$C$22*(1-Assumptions!$C$38)-((Assumptions!$C$41*Assumptions!$C$42+Assumptions!$C$43)*Assumptions!$C$98/Assumptions!$C$41))/UnitEconomics!$C$27</f>
        <v/>
      </c>
      <c r="D33" s="15">
        <f>(Assumptions!$C$22*(1-Assumptions!$C$38)-((Assumptions!$C$41*Assumptions!$C$42+Assumptions!$C$43)*Assumptions!$C$98/Assumptions!$C$41))/UnitEconomics!$D$27</f>
        <v/>
      </c>
      <c r="E33" s="15">
        <f>(Assumptions!$C$22*(1-Assumptions!$C$38)-((Assumptions!$C$41*Assumptions!$C$42+Assumptions!$C$43)*Assumptions!$C$98/Assumptions!$C$41))/UnitEconomics!$E$27</f>
        <v/>
      </c>
      <c r="F33" s="13" t="inlineStr"/>
    </row>
    <row r="34">
      <c r="A34" s="12" t="inlineStr">
        <is>
          <t>Minutes at which B earns Kore no more than reselling A</t>
        </is>
      </c>
      <c r="B34" s="10" t="inlineStr">
        <is>
          <t>minutes</t>
        </is>
      </c>
      <c r="C34" s="15">
        <f>(Assumptions!$C$22-Assumptions!$C$37*Assumptions!$C$123-((Assumptions!$C$41*Assumptions!$C$42+Assumptions!$C$43)*Assumptions!$C$98/Assumptions!$C$41))/UnitEconomics!$C$27</f>
        <v/>
      </c>
      <c r="D34" s="15">
        <f>(Assumptions!$C$22-Assumptions!$C$37*Assumptions!$C$123-((Assumptions!$C$41*Assumptions!$C$42+Assumptions!$C$43)*Assumptions!$C$98/Assumptions!$C$41))/UnitEconomics!$D$27</f>
        <v/>
      </c>
      <c r="E34" s="15">
        <f>(Assumptions!$C$22-Assumptions!$C$37*Assumptions!$C$123-((Assumptions!$C$41*Assumptions!$C$42+Assumptions!$C$43)*Assumptions!$C$98/Assumptions!$C$41))/UnitEconomics!$E$27</f>
        <v/>
      </c>
      <c r="F34" s="13" t="inlineStr"/>
    </row>
    <row r="35">
      <c r="A35" s="12" t="inlineStr">
        <is>
          <t>Fixed monthly cost of running the dialer</t>
        </is>
      </c>
      <c r="B35" s="10" t="inlineStr">
        <is>
          <t>$</t>
        </is>
      </c>
      <c r="C35" s="21">
        <f>UnitEconomics!$C$64*Assumptions!$C$17</f>
        <v/>
      </c>
      <c r="D35" s="21">
        <f>UnitEconomics!$D$64*Assumptions!$C$17</f>
        <v/>
      </c>
      <c r="E35" s="21">
        <f>UnitEconomics!$E$64*Assumptions!$C$17</f>
        <v/>
      </c>
      <c r="F35" s="13" t="inlineStr">
        <is>
          <t>Backend hosting today.</t>
        </is>
      </c>
    </row>
    <row r="36">
      <c r="A36" s="28" t="inlineStr">
        <is>
          <t>Seats needed to cover that fixed cost</t>
        </is>
      </c>
      <c r="B36" s="10" t="inlineStr">
        <is>
          <t>seats</t>
        </is>
      </c>
      <c r="C36" s="32">
        <f>IF(C29&gt;0,C35/C29,"never")</f>
        <v/>
      </c>
      <c r="D36" s="32">
        <f>IF(D29&gt;0,D35/D29,"never")</f>
        <v/>
      </c>
      <c r="E36" s="32">
        <f>IF(E29&gt;0,E35/E29,"never")</f>
        <v/>
      </c>
      <c r="F36" s="13" t="inlineStr"/>
    </row>
    <row r="38">
      <c r="A38" s="5" t="inlineStr">
        <is>
          <t>Margin by minutes used (base cost per minute)</t>
        </is>
      </c>
      <c r="B38" s="6" t="n"/>
      <c r="C38" s="6" t="n"/>
      <c r="D38" s="6" t="n"/>
      <c r="E38" s="6" t="n"/>
      <c r="F38" s="6" t="n"/>
    </row>
    <row r="39" ht="30" customHeight="1">
      <c r="A39" s="4" t="inlineStr">
        <is>
          <t>Phone minutes per seat</t>
        </is>
      </c>
      <c r="B39" s="4" t="inlineStr">
        <is>
          <t>Cost per seat</t>
        </is>
      </c>
      <c r="C39" s="4" t="inlineStr">
        <is>
          <t>Margin, flat price</t>
        </is>
      </c>
      <c r="D39" s="4" t="inlineStr">
        <is>
          <t>Overage revenue</t>
        </is>
      </c>
      <c r="E39" s="4" t="inlineStr">
        <is>
          <t>Margin with overage</t>
        </is>
      </c>
      <c r="F39" s="4" t="inlineStr"/>
    </row>
    <row r="40">
      <c r="A40" s="9" t="n">
        <v>500</v>
      </c>
      <c r="B40" s="21">
        <f>A40*UnitEconomics!$D$27+((Assumptions!$C$41*Assumptions!$C$42+Assumptions!$C$43)*Assumptions!$C$98/Assumptions!$C$41)</f>
        <v/>
      </c>
      <c r="C40" s="19">
        <f>(Assumptions!$C$22-B40)/Assumptions!$C$22</f>
        <v/>
      </c>
      <c r="D40" s="21">
        <f>Assumptions!$C$25*MAX(0,A40-Assumptions!$C$23)*UnitEconomics!$D$31</f>
        <v/>
      </c>
      <c r="E40" s="19">
        <f>(Assumptions!$C$22+D40-B40)/(Assumptions!$C$22+D40)</f>
        <v/>
      </c>
    </row>
    <row r="41">
      <c r="A41" s="9" t="n">
        <v>800</v>
      </c>
      <c r="B41" s="21">
        <f>A41*UnitEconomics!$D$27+((Assumptions!$C$41*Assumptions!$C$42+Assumptions!$C$43)*Assumptions!$C$98/Assumptions!$C$41)</f>
        <v/>
      </c>
      <c r="C41" s="19">
        <f>(Assumptions!$C$22-B41)/Assumptions!$C$22</f>
        <v/>
      </c>
      <c r="D41" s="21">
        <f>Assumptions!$C$25*MAX(0,A41-Assumptions!$C$23)*UnitEconomics!$D$31</f>
        <v/>
      </c>
      <c r="E41" s="19">
        <f>(Assumptions!$C$22+D41-B41)/(Assumptions!$C$22+D41)</f>
        <v/>
      </c>
    </row>
    <row r="42">
      <c r="A42" s="9" t="n">
        <v>1000</v>
      </c>
      <c r="B42" s="21">
        <f>A42*UnitEconomics!$D$27+((Assumptions!$C$41*Assumptions!$C$42+Assumptions!$C$43)*Assumptions!$C$98/Assumptions!$C$41)</f>
        <v/>
      </c>
      <c r="C42" s="19">
        <f>(Assumptions!$C$22-B42)/Assumptions!$C$22</f>
        <v/>
      </c>
      <c r="D42" s="21">
        <f>Assumptions!$C$25*MAX(0,A42-Assumptions!$C$23)*UnitEconomics!$D$31</f>
        <v/>
      </c>
      <c r="E42" s="19">
        <f>(Assumptions!$C$22+D42-B42)/(Assumptions!$C$22+D42)</f>
        <v/>
      </c>
    </row>
    <row r="43">
      <c r="A43" s="9" t="n">
        <v>1200</v>
      </c>
      <c r="B43" s="21">
        <f>A43*UnitEconomics!$D$27+((Assumptions!$C$41*Assumptions!$C$42+Assumptions!$C$43)*Assumptions!$C$98/Assumptions!$C$41)</f>
        <v/>
      </c>
      <c r="C43" s="19">
        <f>(Assumptions!$C$22-B43)/Assumptions!$C$22</f>
        <v/>
      </c>
      <c r="D43" s="21">
        <f>Assumptions!$C$25*MAX(0,A43-Assumptions!$C$23)*UnitEconomics!$D$31</f>
        <v/>
      </c>
      <c r="E43" s="19">
        <f>(Assumptions!$C$22+D43-B43)/(Assumptions!$C$22+D43)</f>
        <v/>
      </c>
    </row>
    <row r="44">
      <c r="A44" s="9" t="n">
        <v>1500</v>
      </c>
      <c r="B44" s="21">
        <f>A44*UnitEconomics!$D$27+((Assumptions!$C$41*Assumptions!$C$42+Assumptions!$C$43)*Assumptions!$C$98/Assumptions!$C$41)</f>
        <v/>
      </c>
      <c r="C44" s="19">
        <f>(Assumptions!$C$22-B44)/Assumptions!$C$22</f>
        <v/>
      </c>
      <c r="D44" s="21">
        <f>Assumptions!$C$25*MAX(0,A44-Assumptions!$C$23)*UnitEconomics!$D$31</f>
        <v/>
      </c>
      <c r="E44" s="19">
        <f>(Assumptions!$C$22+D44-B44)/(Assumptions!$C$22+D44)</f>
        <v/>
      </c>
    </row>
    <row r="45">
      <c r="A45" s="9" t="n">
        <v>2000</v>
      </c>
      <c r="B45" s="21">
        <f>A45*UnitEconomics!$D$27+((Assumptions!$C$41*Assumptions!$C$42+Assumptions!$C$43)*Assumptions!$C$98/Assumptions!$C$41)</f>
        <v/>
      </c>
      <c r="C45" s="19">
        <f>(Assumptions!$C$22-B45)/Assumptions!$C$22</f>
        <v/>
      </c>
      <c r="D45" s="21">
        <f>Assumptions!$C$25*MAX(0,A45-Assumptions!$C$23)*UnitEconomics!$D$31</f>
        <v/>
      </c>
      <c r="E45" s="19">
        <f>(Assumptions!$C$22+D45-B45)/(Assumptions!$C$22+D45)</f>
        <v/>
      </c>
    </row>
    <row r="46">
      <c r="A46" s="9" t="n">
        <v>2500</v>
      </c>
      <c r="B46" s="21">
        <f>A46*UnitEconomics!$D$27+((Assumptions!$C$41*Assumptions!$C$42+Assumptions!$C$43)*Assumptions!$C$98/Assumptions!$C$41)</f>
        <v/>
      </c>
      <c r="C46" s="19">
        <f>(Assumptions!$C$22-B46)/Assumptions!$C$22</f>
        <v/>
      </c>
      <c r="D46" s="21">
        <f>Assumptions!$C$25*MAX(0,A46-Assumptions!$C$23)*UnitEconomics!$D$31</f>
        <v/>
      </c>
      <c r="E46" s="19">
        <f>(Assumptions!$C$22+D46-B46)/(Assumptions!$C$22+D46)</f>
        <v/>
      </c>
    </row>
    <row r="47">
      <c r="A47" s="9" t="n">
        <v>3000</v>
      </c>
      <c r="B47" s="21">
        <f>A47*UnitEconomics!$D$27+((Assumptions!$C$41*Assumptions!$C$42+Assumptions!$C$43)*Assumptions!$C$98/Assumptions!$C$41)</f>
        <v/>
      </c>
      <c r="C47" s="19">
        <f>(Assumptions!$C$22-B47)/Assumptions!$C$22</f>
        <v/>
      </c>
      <c r="D47" s="21">
        <f>Assumptions!$C$25*MAX(0,A47-Assumptions!$C$23)*UnitEconomics!$D$31</f>
        <v/>
      </c>
      <c r="E47" s="19">
        <f>(Assumptions!$C$22+D47-B47)/(Assumptions!$C$22+D47)</f>
        <v/>
      </c>
    </row>
    <row r="48">
      <c r="A48" s="9" t="n">
        <v>4000</v>
      </c>
      <c r="B48" s="21">
        <f>A48*UnitEconomics!$D$27+((Assumptions!$C$41*Assumptions!$C$42+Assumptions!$C$43)*Assumptions!$C$98/Assumptions!$C$41)</f>
        <v/>
      </c>
      <c r="C48" s="19">
        <f>(Assumptions!$C$22-B48)/Assumptions!$C$22</f>
        <v/>
      </c>
      <c r="D48" s="21">
        <f>Assumptions!$C$25*MAX(0,A48-Assumptions!$C$23)*UnitEconomics!$D$31</f>
        <v/>
      </c>
      <c r="E48" s="19">
        <f>(Assumptions!$C$22+D48-B48)/(Assumptions!$C$22+D48)</f>
        <v/>
      </c>
    </row>
  </sheetData>
  <pageMargins left="0.75" right="0.75" top="1" bottom="1" header="0.5" footer="0.5"/>
</worksheet>
</file>

<file path=xl/worksheets/sheet5.xml><?xml version="1.0" encoding="utf-8"?>
<worksheet xmlns="http://schemas.openxmlformats.org/spreadsheetml/2006/main">
  <sheetPr>
    <tabColor rgb="008051FF"/>
    <outlinePr summaryBelow="1" summaryRight="1"/>
    <pageSetUpPr/>
  </sheetPr>
  <dimension ref="A1:K4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20" customWidth="1" min="6" max="6"/>
    <col width="18" customWidth="1" min="7" max="7"/>
    <col width="20" customWidth="1" min="8" max="8"/>
    <col width="18" customWidth="1" min="9" max="9"/>
    <col width="20" customWidth="1" min="10" max="10"/>
    <col width="14" customWidth="1" min="11" max="11"/>
  </cols>
  <sheetData>
    <row r="1" ht="22" customHeight="1">
      <c r="A1" s="1" t="inlineStr">
        <is>
          <t>Tiers: platform fee and add-ons</t>
        </is>
      </c>
      <c r="B1" s="2" t="n"/>
      <c r="C1" s="2" t="n"/>
      <c r="D1" s="2" t="n"/>
      <c r="E1" s="2" t="n"/>
      <c r="F1" s="2" t="n"/>
      <c r="G1" s="2" t="n"/>
      <c r="H1" s="2" t="n"/>
      <c r="I1" s="2" t="n"/>
      <c r="J1" s="2" t="n"/>
      <c r="K1" s="2" t="n"/>
    </row>
    <row r="2">
      <c r="A2" s="3" t="inlineStr">
        <is>
          <t>Revenue and cost per tenant, blended by attach rate. Costs are the base case from UnitEconomics. Gross margin here is tool cost only: no support, sales or payment fees.</t>
        </is>
      </c>
      <c r="B2" s="2" t="n"/>
      <c r="C2" s="2" t="n"/>
      <c r="D2" s="2" t="n"/>
      <c r="E2" s="2" t="n"/>
      <c r="F2" s="2" t="n"/>
      <c r="G2" s="2" t="n"/>
      <c r="H2" s="2" t="n"/>
      <c r="I2" s="2" t="n"/>
      <c r="J2" s="2" t="n"/>
      <c r="K2" s="2" t="n"/>
    </row>
    <row r="4" ht="30" customHeight="1">
      <c r="A4" s="4" t="inlineStr">
        <is>
          <t>Item</t>
        </is>
      </c>
      <c r="B4" s="4" t="inlineStr">
        <is>
          <t>Price</t>
        </is>
      </c>
      <c r="C4" s="4" t="inlineStr">
        <is>
          <t>Unit</t>
        </is>
      </c>
      <c r="D4" s="4" t="inlineStr">
        <is>
          <t>Units per tenant</t>
        </is>
      </c>
      <c r="E4" s="4" t="inlineStr">
        <is>
          <t>Attach rate</t>
        </is>
      </c>
      <c r="F4" s="4" t="inlineStr">
        <is>
          <t>Revenue per tenant that takes it</t>
        </is>
      </c>
      <c r="G4" s="4" t="inlineStr">
        <is>
          <t>Blended revenue per tenant</t>
        </is>
      </c>
      <c r="H4" s="4" t="inlineStr">
        <is>
          <t>Cost per tenant that takes it</t>
        </is>
      </c>
      <c r="I4" s="4" t="inlineStr">
        <is>
          <t>Blended cost per tenant</t>
        </is>
      </c>
      <c r="J4" s="4" t="inlineStr">
        <is>
          <t>Gross profit per tenant that takes it</t>
        </is>
      </c>
      <c r="K4" s="4" t="inlineStr">
        <is>
          <t>Gross margin</t>
        </is>
      </c>
    </row>
    <row r="5">
      <c r="A5" s="12" t="inlineStr">
        <is>
          <t>Platform</t>
        </is>
      </c>
      <c r="B5" s="21">
        <f>Assumptions!$C$21</f>
        <v/>
      </c>
      <c r="C5" s="10" t="inlineStr">
        <is>
          <t>$ / tenant</t>
        </is>
      </c>
      <c r="D5" s="25">
        <f>1</f>
        <v/>
      </c>
      <c r="E5" s="19">
        <f>1</f>
        <v/>
      </c>
      <c r="F5" s="21">
        <f>B5*D5</f>
        <v/>
      </c>
      <c r="G5" s="21">
        <f>F5*E5</f>
        <v/>
      </c>
      <c r="H5" s="21">
        <f>UnitEconomics!$D$71</f>
        <v/>
      </c>
      <c r="I5" s="21">
        <f>H5*E5</f>
        <v/>
      </c>
      <c r="J5" s="21">
        <f>F5-H5</f>
        <v/>
      </c>
      <c r="K5" s="19">
        <f>IF(F5&gt;0,J5/F5,0)</f>
        <v/>
      </c>
    </row>
    <row r="6">
      <c r="A6" s="12" t="inlineStr">
        <is>
          <t>Dialer</t>
        </is>
      </c>
      <c r="B6" s="21">
        <f>Assumptions!$C$22</f>
        <v/>
      </c>
      <c r="C6" s="10" t="inlineStr">
        <is>
          <t>$ / seat</t>
        </is>
      </c>
      <c r="D6" s="25">
        <f>Assumptions!$C$41</f>
        <v/>
      </c>
      <c r="E6" s="19">
        <f>Assumptions!$C$33</f>
        <v/>
      </c>
      <c r="F6" s="21">
        <f>B6*D6</f>
        <v/>
      </c>
      <c r="G6" s="21">
        <f>F6*E6</f>
        <v/>
      </c>
      <c r="H6" s="21">
        <f>UnitEconomics!$D$72</f>
        <v/>
      </c>
      <c r="I6" s="21">
        <f>H6*E6</f>
        <v/>
      </c>
      <c r="J6" s="21">
        <f>F6-H6</f>
        <v/>
      </c>
      <c r="K6" s="19">
        <f>IF(F6&gt;0,J6/F6,0)</f>
        <v/>
      </c>
    </row>
    <row r="7">
      <c r="A7" s="12" t="inlineStr">
        <is>
          <t>Dialer overage</t>
        </is>
      </c>
      <c r="B7" s="30">
        <f>UnitEconomics!$D$31</f>
        <v/>
      </c>
      <c r="C7" s="10" t="inlineStr">
        <is>
          <t>$ / minute</t>
        </is>
      </c>
      <c r="D7" s="25">
        <f>Assumptions!$C$41*MAX(0,UnitEconomics!$D$12-Assumptions!$C$23)</f>
        <v/>
      </c>
      <c r="E7" s="19">
        <f>Assumptions!$C$33*Assumptions!$C$25</f>
        <v/>
      </c>
      <c r="F7" s="21">
        <f>B7*D7</f>
        <v/>
      </c>
      <c r="G7" s="21">
        <f>F7*E7</f>
        <v/>
      </c>
      <c r="H7" s="21">
        <f>0</f>
        <v/>
      </c>
      <c r="I7" s="21">
        <f>H7*E7</f>
        <v/>
      </c>
      <c r="J7" s="21">
        <f>F7-H7</f>
        <v/>
      </c>
      <c r="K7" s="19">
        <f>IF(F7&gt;0,J7/F7,0)</f>
        <v/>
      </c>
    </row>
    <row r="8">
      <c r="A8" s="12" t="inlineStr">
        <is>
          <t>SMS</t>
        </is>
      </c>
      <c r="B8" s="21">
        <f>Assumptions!$C$26</f>
        <v/>
      </c>
      <c r="C8" s="10" t="inlineStr">
        <is>
          <t>$ / tenant</t>
        </is>
      </c>
      <c r="D8" s="25">
        <f>1</f>
        <v/>
      </c>
      <c r="E8" s="19">
        <f>Assumptions!$C$34</f>
        <v/>
      </c>
      <c r="F8" s="21">
        <f>B8*D8</f>
        <v/>
      </c>
      <c r="G8" s="21">
        <f>F8*E8</f>
        <v/>
      </c>
      <c r="H8" s="21">
        <f>UnitEconomics!$D$73</f>
        <v/>
      </c>
      <c r="I8" s="21">
        <f>H8*E8</f>
        <v/>
      </c>
      <c r="J8" s="21">
        <f>F8-H8</f>
        <v/>
      </c>
      <c r="K8" s="19">
        <f>IF(F8&gt;0,J8/F8,0)</f>
        <v/>
      </c>
    </row>
    <row r="9">
      <c r="A9" s="12" t="inlineStr">
        <is>
          <t>SMS overage</t>
        </is>
      </c>
      <c r="B9" s="30">
        <f>UnitEconomics!$D$39</f>
        <v/>
      </c>
      <c r="C9" s="10" t="inlineStr">
        <is>
          <t>$ / segment</t>
        </is>
      </c>
      <c r="D9" s="25">
        <f>MAX(0,UnitEconomics!$D$15-Assumptions!$C$27)</f>
        <v/>
      </c>
      <c r="E9" s="19">
        <f>Assumptions!$C$34*Assumptions!$C$25</f>
        <v/>
      </c>
      <c r="F9" s="21">
        <f>B9*D9</f>
        <v/>
      </c>
      <c r="G9" s="21">
        <f>F9*E9</f>
        <v/>
      </c>
      <c r="H9" s="21">
        <f>0</f>
        <v/>
      </c>
      <c r="I9" s="21">
        <f>H9*E9</f>
        <v/>
      </c>
      <c r="J9" s="21">
        <f>F9-H9</f>
        <v/>
      </c>
      <c r="K9" s="19">
        <f>IF(F9&gt;0,J9/F9,0)</f>
        <v/>
      </c>
    </row>
    <row r="10">
      <c r="A10" s="12" t="inlineStr">
        <is>
          <t>Compliance</t>
        </is>
      </c>
      <c r="B10" s="21">
        <f>Assumptions!$C$29</f>
        <v/>
      </c>
      <c r="C10" s="10" t="inlineStr">
        <is>
          <t>$ / tenant</t>
        </is>
      </c>
      <c r="D10" s="25">
        <f>1</f>
        <v/>
      </c>
      <c r="E10" s="19">
        <f>Assumptions!$C$35</f>
        <v/>
      </c>
      <c r="F10" s="21">
        <f>B10*D10</f>
        <v/>
      </c>
      <c r="G10" s="21">
        <f>F10*E10</f>
        <v/>
      </c>
      <c r="H10" s="21">
        <f>UnitEconomics!$D$74</f>
        <v/>
      </c>
      <c r="I10" s="21">
        <f>H10*E10</f>
        <v/>
      </c>
      <c r="J10" s="21">
        <f>F10-H10</f>
        <v/>
      </c>
      <c r="K10" s="19">
        <f>IF(F10&gt;0,J10/F10,0)</f>
        <v/>
      </c>
    </row>
    <row r="11">
      <c r="A11" s="12" t="inlineStr">
        <is>
          <t>AI SMS</t>
        </is>
      </c>
      <c r="B11" s="21">
        <f>Assumptions!$C$30</f>
        <v/>
      </c>
      <c r="C11" s="10" t="inlineStr">
        <is>
          <t>$ / tenant</t>
        </is>
      </c>
      <c r="D11" s="25">
        <f>1</f>
        <v/>
      </c>
      <c r="E11" s="19">
        <f>Assumptions!$C$36</f>
        <v/>
      </c>
      <c r="F11" s="21">
        <f>B11*D11</f>
        <v/>
      </c>
      <c r="G11" s="21">
        <f>F11*E11</f>
        <v/>
      </c>
      <c r="H11" s="21">
        <f>UnitEconomics!$D$75</f>
        <v/>
      </c>
      <c r="I11" s="21">
        <f>H11*E11</f>
        <v/>
      </c>
      <c r="J11" s="21">
        <f>F11-H11</f>
        <v/>
      </c>
      <c r="K11" s="19">
        <f>IF(F11&gt;0,J11/F11,0)</f>
        <v/>
      </c>
    </row>
    <row r="12">
      <c r="A12" s="12" t="inlineStr">
        <is>
          <t>Zoho resale margin</t>
        </is>
      </c>
      <c r="B12" s="21">
        <f>Assumptions!$C$37*(Assumptions!$C$116*Assumptions!$C$41+Assumptions!$C$123*Assumptions!$C$41*(1-Assumptions!$C$33))</f>
        <v/>
      </c>
      <c r="C12" s="10" t="inlineStr">
        <is>
          <t>$ / tenant</t>
        </is>
      </c>
      <c r="D12" s="25">
        <f>1</f>
        <v/>
      </c>
      <c r="E12" s="19">
        <f>1</f>
        <v/>
      </c>
      <c r="F12" s="21">
        <f>B12*D12</f>
        <v/>
      </c>
      <c r="G12" s="21">
        <f>F12*E12</f>
        <v/>
      </c>
      <c r="H12" s="21">
        <f>0</f>
        <v/>
      </c>
      <c r="I12" s="21">
        <f>H12*E12</f>
        <v/>
      </c>
      <c r="J12" s="21">
        <f>F12-H12</f>
        <v/>
      </c>
      <c r="K12" s="19">
        <f>IF(F12&gt;0,J12/F12,0)</f>
        <v/>
      </c>
    </row>
    <row r="14">
      <c r="A14" s="5" t="inlineStr">
        <is>
          <t>Per tenant per month, blended</t>
        </is>
      </c>
      <c r="B14" s="6" t="n"/>
      <c r="C14" s="6" t="n"/>
      <c r="D14" s="6" t="n"/>
      <c r="E14" s="6" t="n"/>
      <c r="F14" s="6" t="n"/>
      <c r="G14" s="6" t="n"/>
      <c r="H14" s="6" t="n"/>
      <c r="I14" s="6" t="n"/>
      <c r="J14" s="6" t="n"/>
      <c r="K14" s="6" t="n"/>
    </row>
    <row r="15">
      <c r="A15" s="28" t="inlineStr">
        <is>
          <t>Revenue per tenant (ARPA)</t>
        </is>
      </c>
      <c r="B15" s="29">
        <f>SUM(G5:G12)</f>
        <v/>
      </c>
    </row>
    <row r="16">
      <c r="A16" s="28" t="inlineStr">
        <is>
          <t>Revenue per tenant per year</t>
        </is>
      </c>
      <c r="B16" s="33">
        <f>$B$15*12</f>
        <v/>
      </c>
    </row>
    <row r="17">
      <c r="A17" s="28" t="inlineStr">
        <is>
          <t>Revenue per tenant with no overage</t>
        </is>
      </c>
      <c r="B17" s="29">
        <f>$B$15-G7-G9</f>
        <v/>
      </c>
    </row>
    <row r="18">
      <c r="A18" s="28" t="inlineStr">
        <is>
          <t>Cost per tenant</t>
        </is>
      </c>
      <c r="B18" s="29">
        <f>SUM(I5:I12)</f>
        <v/>
      </c>
    </row>
    <row r="19">
      <c r="A19" s="28" t="inlineStr">
        <is>
          <t>Gross profit per tenant</t>
        </is>
      </c>
      <c r="B19" s="29">
        <f>$B$15-$B$18</f>
        <v/>
      </c>
    </row>
    <row r="20">
      <c r="A20" s="28" t="inlineStr">
        <is>
          <t>Gross margin</t>
        </is>
      </c>
      <c r="B20" s="31">
        <f>IF($B$15&gt;0,$B$19/$B$15,0)</f>
        <v/>
      </c>
    </row>
    <row r="21">
      <c r="A21" s="28" t="inlineStr">
        <is>
          <t>Gross margin with no overage</t>
        </is>
      </c>
      <c r="B21" s="31">
        <f>IF($B$17&gt;0,($B$17-$B$18)/$B$17,0)</f>
        <v/>
      </c>
    </row>
    <row r="23">
      <c r="A23" s="5" t="inlineStr">
        <is>
          <t>Used by the forecast</t>
        </is>
      </c>
      <c r="B23" s="6" t="n"/>
      <c r="C23" s="6" t="n"/>
      <c r="D23" s="6" t="n"/>
      <c r="E23" s="6" t="n"/>
      <c r="F23" s="6" t="n"/>
      <c r="G23" s="6" t="n"/>
      <c r="H23" s="6" t="n"/>
      <c r="I23" s="6" t="n"/>
      <c r="J23" s="6" t="n"/>
      <c r="K23" s="6" t="n"/>
    </row>
    <row r="24">
      <c r="A24" s="12" t="inlineStr">
        <is>
          <t>Add-on revenue per tenant, blended</t>
        </is>
      </c>
      <c r="B24" s="34">
        <f>G6+G8+G10+G11</f>
        <v/>
      </c>
    </row>
    <row r="25">
      <c r="A25" s="12" t="inlineStr">
        <is>
          <t>Overage and resale revenue per tenant, blended</t>
        </is>
      </c>
      <c r="B25" s="34">
        <f>G7+G9+G12</f>
        <v/>
      </c>
    </row>
    <row r="26">
      <c r="A26" s="12" t="inlineStr">
        <is>
          <t>Cost per tenant, blended, without hosting and client site</t>
        </is>
      </c>
      <c r="B26" s="34">
        <f>$B$18-I5</f>
        <v/>
      </c>
    </row>
    <row r="27">
      <c r="A27" s="12" t="inlineStr">
        <is>
          <t>One-time fees per new tenant</t>
        </is>
      </c>
      <c r="B27" s="34">
        <f>Assumptions!$C$31+Assumptions!$C$34*Assumptions!$C$28</f>
        <v/>
      </c>
    </row>
    <row r="28">
      <c r="A28" s="12" t="inlineStr">
        <is>
          <t>One-time cost per new tenant</t>
        </is>
      </c>
      <c r="B28" s="34">
        <f>Assumptions!$C$34*UnitEconomics!$D$40</f>
        <v/>
      </c>
    </row>
    <row r="30">
      <c r="A30" s="5" t="inlineStr">
        <is>
          <t>Margin by add-on, overage folded in (per tenant that takes it)</t>
        </is>
      </c>
      <c r="B30" s="6" t="n"/>
      <c r="C30" s="6" t="n"/>
      <c r="D30" s="6" t="n"/>
      <c r="E30" s="6" t="n"/>
      <c r="F30" s="6" t="n"/>
      <c r="G30" s="6" t="n"/>
      <c r="H30" s="6" t="n"/>
      <c r="I30" s="6" t="n"/>
      <c r="J30" s="6" t="n"/>
      <c r="K30" s="6" t="n"/>
    </row>
    <row r="31" ht="30" customHeight="1">
      <c r="A31" s="4" t="inlineStr">
        <is>
          <t>Add-on</t>
        </is>
      </c>
      <c r="B31" s="4" t="inlineStr">
        <is>
          <t>Revenue</t>
        </is>
      </c>
      <c r="C31" s="4" t="inlineStr">
        <is>
          <t>Cost</t>
        </is>
      </c>
      <c r="D31" s="4" t="inlineStr">
        <is>
          <t>Gross profit</t>
        </is>
      </c>
      <c r="E31" s="4" t="inlineStr">
        <is>
          <t>Gross margin</t>
        </is>
      </c>
      <c r="F31" s="4" t="inlineStr">
        <is>
          <t>Gross margin with no overage</t>
        </is>
      </c>
    </row>
    <row r="32">
      <c r="A32" s="12" t="inlineStr">
        <is>
          <t>Platform</t>
        </is>
      </c>
      <c r="B32" s="21">
        <f>F5</f>
        <v/>
      </c>
      <c r="C32" s="21">
        <f>H5</f>
        <v/>
      </c>
      <c r="D32" s="21">
        <f>B32-C32</f>
        <v/>
      </c>
      <c r="E32" s="31">
        <f>IF(B32&gt;0,D32/B32,0)</f>
        <v/>
      </c>
      <c r="F32" s="19">
        <f>IF(F5&gt;0,(F5-C32)/(F5),0)</f>
        <v/>
      </c>
    </row>
    <row r="33">
      <c r="A33" s="12" t="inlineStr">
        <is>
          <t>Dialer</t>
        </is>
      </c>
      <c r="B33" s="21">
        <f>F6+Assumptions!$C$25*F7</f>
        <v/>
      </c>
      <c r="C33" s="21">
        <f>H6</f>
        <v/>
      </c>
      <c r="D33" s="21">
        <f>B33-C33</f>
        <v/>
      </c>
      <c r="E33" s="31">
        <f>IF(B33&gt;0,D33/B33,0)</f>
        <v/>
      </c>
      <c r="F33" s="19">
        <f>IF(F6&gt;0,(F6-C33)/(F6),0)</f>
        <v/>
      </c>
    </row>
    <row r="34">
      <c r="A34" s="12" t="inlineStr">
        <is>
          <t>SMS</t>
        </is>
      </c>
      <c r="B34" s="21">
        <f>F8+Assumptions!$C$25*F9</f>
        <v/>
      </c>
      <c r="C34" s="21">
        <f>H8</f>
        <v/>
      </c>
      <c r="D34" s="21">
        <f>B34-C34</f>
        <v/>
      </c>
      <c r="E34" s="31">
        <f>IF(B34&gt;0,D34/B34,0)</f>
        <v/>
      </c>
      <c r="F34" s="19">
        <f>IF(F8&gt;0,(F8-C34)/(F8),0)</f>
        <v/>
      </c>
    </row>
    <row r="35">
      <c r="A35" s="12" t="inlineStr">
        <is>
          <t>Compliance</t>
        </is>
      </c>
      <c r="B35" s="21">
        <f>F10</f>
        <v/>
      </c>
      <c r="C35" s="21">
        <f>H10</f>
        <v/>
      </c>
      <c r="D35" s="21">
        <f>B35-C35</f>
        <v/>
      </c>
      <c r="E35" s="31">
        <f>IF(B35&gt;0,D35/B35,0)</f>
        <v/>
      </c>
      <c r="F35" s="19">
        <f>IF(F10&gt;0,(F10-C35)/(F10),0)</f>
        <v/>
      </c>
    </row>
    <row r="36">
      <c r="A36" s="12" t="inlineStr">
        <is>
          <t>AI SMS</t>
        </is>
      </c>
      <c r="B36" s="21">
        <f>F11</f>
        <v/>
      </c>
      <c r="C36" s="21">
        <f>H11</f>
        <v/>
      </c>
      <c r="D36" s="21">
        <f>B36-C36</f>
        <v/>
      </c>
      <c r="E36" s="31">
        <f>IF(B36&gt;0,D36/B36,0)</f>
        <v/>
      </c>
      <c r="F36" s="19">
        <f>IF(F11&gt;0,(F11-C36)/(F11),0)</f>
        <v/>
      </c>
    </row>
    <row r="38">
      <c r="A38" s="5" t="inlineStr">
        <is>
          <t>Bundles (1 = in the bundle)</t>
        </is>
      </c>
      <c r="B38" s="6" t="n"/>
      <c r="C38" s="6" t="n"/>
      <c r="D38" s="6" t="n"/>
      <c r="E38" s="6" t="n"/>
      <c r="F38" s="6" t="n"/>
      <c r="G38" s="6" t="n"/>
      <c r="H38" s="6" t="n"/>
      <c r="I38" s="6" t="n"/>
      <c r="J38" s="6" t="n"/>
      <c r="K38" s="6" t="n"/>
    </row>
    <row r="39" ht="30" customHeight="1">
      <c r="A39" s="4" t="inlineStr">
        <is>
          <t>Item</t>
        </is>
      </c>
      <c r="B39" s="4" t="inlineStr">
        <is>
          <t>Core</t>
        </is>
      </c>
      <c r="C39" s="4" t="inlineStr">
        <is>
          <t>Growth</t>
        </is>
      </c>
      <c r="D39" s="4" t="inlineStr">
        <is>
          <t>Complete</t>
        </is>
      </c>
    </row>
    <row r="40">
      <c r="A40" s="12" t="inlineStr">
        <is>
          <t>Platform</t>
        </is>
      </c>
      <c r="B40" s="9" t="n">
        <v>1</v>
      </c>
      <c r="C40" s="9" t="n">
        <v>1</v>
      </c>
      <c r="D40" s="9" t="n">
        <v>1</v>
      </c>
    </row>
    <row r="41">
      <c r="A41" s="12" t="inlineStr">
        <is>
          <t>Dialer, all seats</t>
        </is>
      </c>
      <c r="B41" s="9" t="n">
        <v>0</v>
      </c>
      <c r="C41" s="9" t="n">
        <v>1</v>
      </c>
      <c r="D41" s="9" t="n">
        <v>1</v>
      </c>
    </row>
    <row r="42">
      <c r="A42" s="12" t="inlineStr">
        <is>
          <t>SMS</t>
        </is>
      </c>
      <c r="B42" s="9" t="n">
        <v>0</v>
      </c>
      <c r="C42" s="9" t="n">
        <v>1</v>
      </c>
      <c r="D42" s="9" t="n">
        <v>1</v>
      </c>
    </row>
    <row r="43">
      <c r="A43" s="12" t="inlineStr">
        <is>
          <t>Compliance</t>
        </is>
      </c>
      <c r="B43" s="9" t="n">
        <v>0</v>
      </c>
      <c r="C43" s="9" t="n">
        <v>0</v>
      </c>
      <c r="D43" s="9" t="n">
        <v>1</v>
      </c>
    </row>
    <row r="44">
      <c r="A44" s="12" t="inlineStr">
        <is>
          <t>AI SMS</t>
        </is>
      </c>
      <c r="B44" s="9" t="n">
        <v>0</v>
      </c>
      <c r="C44" s="9" t="n">
        <v>0</v>
      </c>
      <c r="D44" s="9" t="n">
        <v>1</v>
      </c>
    </row>
    <row r="45">
      <c r="A45" s="28" t="inlineStr">
        <is>
          <t>Price per month</t>
        </is>
      </c>
      <c r="B45" s="29">
        <f>(B40*$F$5+B41*$F$6+B42*$F$8+B43*$F$10+B44*$F$11)*(1-Assumptions!$C$32)</f>
        <v/>
      </c>
      <c r="C45" s="29">
        <f>(C40*$F$5+C41*$F$6+C42*$F$8+C43*$F$10+C44*$F$11)*(1-Assumptions!$C$32)</f>
        <v/>
      </c>
      <c r="D45" s="29">
        <f>(D40*$F$5+D41*$F$6+D42*$F$8+D43*$F$10+D44*$F$11)*(1-Assumptions!$C$32)</f>
        <v/>
      </c>
    </row>
    <row r="46">
      <c r="A46" s="28" t="inlineStr">
        <is>
          <t>Overage per month at base usage</t>
        </is>
      </c>
      <c r="B46" s="29">
        <f>Assumptions!$C$25*(B41*$F$7+B42*$F$9)</f>
        <v/>
      </c>
      <c r="C46" s="29">
        <f>Assumptions!$C$25*(C41*$F$7+C42*$F$9)</f>
        <v/>
      </c>
      <c r="D46" s="29">
        <f>Assumptions!$C$25*(D41*$F$7+D42*$F$9)</f>
        <v/>
      </c>
    </row>
    <row r="47">
      <c r="A47" s="28" t="inlineStr">
        <is>
          <t>Cost per month</t>
        </is>
      </c>
      <c r="B47" s="29">
        <f>B40*$H$5+B41*$H$6+B42*$H$8+B43*$H$10+B44*$H$11</f>
        <v/>
      </c>
      <c r="C47" s="29">
        <f>C40*$H$5+C41*$H$6+C42*$H$8+C43*$H$10+C44*$H$11</f>
        <v/>
      </c>
      <c r="D47" s="29">
        <f>D40*$H$5+D41*$H$6+D42*$H$8+D43*$H$10+D44*$H$11</f>
        <v/>
      </c>
    </row>
    <row r="48">
      <c r="A48" s="28" t="inlineStr">
        <is>
          <t>Gross margin, price only</t>
        </is>
      </c>
      <c r="B48" s="31">
        <f>IF(B45&gt;0,(B45-B47)/B45,0)</f>
        <v/>
      </c>
      <c r="C48" s="31">
        <f>IF(C45&gt;0,(C45-C47)/C45,0)</f>
        <v/>
      </c>
      <c r="D48" s="31">
        <f>IF(D45&gt;0,(D45-D47)/D45,0)</f>
        <v/>
      </c>
    </row>
    <row r="49">
      <c r="A49" s="28" t="inlineStr">
        <is>
          <t>Gross margin with overage</t>
        </is>
      </c>
      <c r="B49" s="31">
        <f>IF(B45+B46&gt;0,(B45+B46-B47)/(B45+B46),0)</f>
        <v/>
      </c>
      <c r="C49" s="31">
        <f>IF(C45+C46&gt;0,(C45+C46-C47)/(C45+C46),0)</f>
        <v/>
      </c>
      <c r="D49" s="31">
        <f>IF(D45+D46&gt;0,(D45+D46-D47)/(D45+D46),0)</f>
        <v/>
      </c>
    </row>
  </sheetData>
  <pageMargins left="0.75" right="0.75" top="1" bottom="1" header="0.5" footer="0.5"/>
</worksheet>
</file>

<file path=xl/worksheets/sheet6.xml><?xml version="1.0" encoding="utf-8"?>
<worksheet xmlns="http://schemas.openxmlformats.org/spreadsheetml/2006/main">
  <sheetPr>
    <tabColor rgb="008051FF"/>
    <outlinePr summaryBelow="1" summaryRight="1"/>
    <pageSetUpPr/>
  </sheetPr>
  <dimension ref="A1:L18"/>
  <sheetViews>
    <sheetView showGridLines="0" workbookViewId="0">
      <selection activeCell="A1" sqref="A1"/>
    </sheetView>
  </sheetViews>
  <sheetFormatPr baseColWidth="8" defaultRowHeight="15"/>
  <cols>
    <col width="40" customWidth="1" min="1" max="1"/>
    <col width="18" customWidth="1" min="2" max="2"/>
    <col width="18" customWidth="1" min="3" max="3"/>
    <col width="14" customWidth="1" min="4" max="4"/>
    <col width="12" customWidth="1" min="5" max="5"/>
    <col width="16" customWidth="1" min="6" max="6"/>
    <col width="14" customWidth="1" min="7" max="7"/>
    <col width="16" customWidth="1" min="8" max="8"/>
    <col width="16" customWidth="1" min="9" max="9"/>
    <col width="18" customWidth="1" min="10" max="10"/>
    <col width="14" customWidth="1" min="11" max="11"/>
    <col width="18" customWidth="1" min="12" max="12"/>
  </cols>
  <sheetData>
    <row r="1" ht="22" customHeight="1">
      <c r="A1" s="1" t="inlineStr">
        <is>
          <t>Hosting: Forge and AWS today, Azure at scale</t>
        </is>
      </c>
      <c r="B1" s="2" t="n"/>
      <c r="C1" s="2" t="n"/>
      <c r="D1" s="2" t="n"/>
      <c r="E1" s="2" t="n"/>
      <c r="F1" s="2" t="n"/>
      <c r="G1" s="2" t="n"/>
      <c r="H1" s="2" t="n"/>
      <c r="I1" s="2" t="n"/>
      <c r="J1" s="2" t="n"/>
      <c r="K1" s="2" t="n"/>
      <c r="L1" s="2" t="n"/>
    </row>
    <row r="2">
      <c r="A2" s="3" t="inlineStr">
        <is>
          <t>The switch is host_mode on the Assumptions sheet: 1 Forge and AWS, 2 Azure, 3 Azure from a tenant count.</t>
        </is>
      </c>
      <c r="B2" s="2" t="n"/>
      <c r="C2" s="2" t="n"/>
      <c r="D2" s="2" t="n"/>
      <c r="E2" s="2" t="n"/>
      <c r="F2" s="2" t="n"/>
      <c r="G2" s="2" t="n"/>
      <c r="H2" s="2" t="n"/>
      <c r="I2" s="2" t="n"/>
      <c r="J2" s="2" t="n"/>
      <c r="K2" s="2" t="n"/>
      <c r="L2" s="2" t="n"/>
    </row>
    <row r="5">
      <c r="A5" s="12" t="inlineStr">
        <is>
          <t>One server, all-in</t>
        </is>
      </c>
      <c r="B5" s="10" t="inlineStr">
        <is>
          <t>$ / month</t>
        </is>
      </c>
      <c r="C5" s="34">
        <f>Assumptions!$C$136+Assumptions!$C$137*Assumptions!$C$138+Assumptions!$C$139</f>
        <v/>
      </c>
      <c r="D5" s="27" t="inlineStr">
        <is>
          <t>Instance, disk and public address.</t>
        </is>
      </c>
    </row>
    <row r="6">
      <c r="A6" s="12" t="inlineStr">
        <is>
          <t>Azure cost that grows with each tenant</t>
        </is>
      </c>
      <c r="B6" s="10" t="inlineStr">
        <is>
          <t>$ / tenant / month</t>
        </is>
      </c>
      <c r="C6" s="35">
        <f>Assumptions!$C$148/10000*Assumptions!$C$147+Assumptions!$C$150*Assumptions!$C$149+Assumptions!$C$152*Assumptions!$C$151+Assumptions!$C$154/10000*Assumptions!$C$153</f>
        <v/>
      </c>
      <c r="D6" s="27" t="inlineStr">
        <is>
          <t>Key Vault operations, Blob and Table storage, Table transactions.</t>
        </is>
      </c>
    </row>
    <row r="7">
      <c r="A7" s="12" t="inlineStr">
        <is>
          <t>Switch (host_mode)</t>
        </is>
      </c>
      <c r="C7" s="36">
        <f>Assumptions!$C$155</f>
        <v/>
      </c>
      <c r="D7" s="27">
        <f>CHOOSE(C7,"Forge and AWS","Azure","Azure from "&amp;Assumptions!$C$156&amp;" tenants")</f>
        <v/>
      </c>
    </row>
    <row r="9" ht="30" customHeight="1">
      <c r="A9" s="4" t="inlineStr">
        <is>
          <t>Tenants</t>
        </is>
      </c>
      <c r="B9" s="4" t="inlineStr">
        <is>
          <t>Servers</t>
        </is>
      </c>
      <c r="C9" s="4" t="inlineStr">
        <is>
          <t>Forge and AWS, $ / month</t>
        </is>
      </c>
      <c r="D9" s="4" t="inlineStr">
        <is>
          <t>Per tenant</t>
        </is>
      </c>
      <c r="E9" s="4" t="inlineStr">
        <is>
          <t>Instances</t>
        </is>
      </c>
      <c r="F9" s="4" t="inlineStr">
        <is>
          <t>Azure, $ / month</t>
        </is>
      </c>
      <c r="G9" s="4" t="inlineStr">
        <is>
          <t>Per tenant</t>
        </is>
      </c>
      <c r="H9" s="4" t="inlineStr">
        <is>
          <t>Selected, $ / month</t>
        </is>
      </c>
      <c r="I9" s="4" t="inlineStr">
        <is>
          <t>Selected per tenant</t>
        </is>
      </c>
      <c r="J9" s="4" t="inlineStr">
        <is>
          <t>Client sites, $ / month</t>
        </is>
      </c>
      <c r="K9" s="4" t="inlineStr">
        <is>
          <t>Per tenant</t>
        </is>
      </c>
      <c r="L9" s="4" t="inlineStr">
        <is>
          <t>Hosting and site per tenant</t>
        </is>
      </c>
    </row>
    <row r="10">
      <c r="A10" s="9" t="n">
        <v>1</v>
      </c>
      <c r="B10" s="15">
        <f>ROUNDUP($A10/Assumptions!$C$141,0)</f>
        <v/>
      </c>
      <c r="C10" s="21">
        <f>(Assumptions!$C$135*Assumptions!$C$140+Hosting!$C$5*Assumptions!$C$140+MAX(0,ROUNDUP($A10/Assumptions!$C$141,0)-1)*Hosting!$C$5)</f>
        <v/>
      </c>
      <c r="D10" s="21">
        <f>C10/$A10</f>
        <v/>
      </c>
      <c r="E10" s="15">
        <f>MAX(Assumptions!$C$145,ROUNDUP($A10/Assumptions!$C$146,0))</f>
        <v/>
      </c>
      <c r="F10" s="21">
        <f>(MAX(Assumptions!$C$145,ROUNDUP($A10/Assumptions!$C$146,0))*Assumptions!$C$144+$A10*Hosting!$C$6)</f>
        <v/>
      </c>
      <c r="G10" s="21">
        <f>F10/$A10</f>
        <v/>
      </c>
      <c r="H10" s="21">
        <f>IF(Assumptions!$C$155=1,(Assumptions!$C$135*Assumptions!$C$140+Hosting!$C$5*Assumptions!$C$140+MAX(0,ROUNDUP($A10/Assumptions!$C$141,0)-1)*Hosting!$C$5),IF(Assumptions!$C$155=2,(MAX(Assumptions!$C$145,ROUNDUP($A10/Assumptions!$C$146,0))*Assumptions!$C$144+$A10*Hosting!$C$6),IF($A10&gt;=Assumptions!$C$156,(MAX(Assumptions!$C$145,ROUNDUP($A10/Assumptions!$C$146,0))*Assumptions!$C$144+$A10*Hosting!$C$6),(Assumptions!$C$135*Assumptions!$C$140+Hosting!$C$5*Assumptions!$C$140+MAX(0,ROUNDUP($A10/Assumptions!$C$141,0)-1)*Hosting!$C$5))))</f>
        <v/>
      </c>
      <c r="I10" s="29">
        <f>H10/$A10</f>
        <v/>
      </c>
      <c r="J10" s="21">
        <f>Assumptions!$C$159*(Assumptions!$C$160+MAX(0,$A10*Assumptions!$C$163-Assumptions!$C$161)*Assumptions!$C$162)</f>
        <v/>
      </c>
      <c r="K10" s="21">
        <f>J10/$A10</f>
        <v/>
      </c>
      <c r="L10" s="29">
        <f>I10+K10</f>
        <v/>
      </c>
    </row>
    <row r="11">
      <c r="A11" s="9" t="n">
        <v>2</v>
      </c>
      <c r="B11" s="15">
        <f>ROUNDUP($A11/Assumptions!$C$141,0)</f>
        <v/>
      </c>
      <c r="C11" s="21">
        <f>(Assumptions!$C$135*Assumptions!$C$140+Hosting!$C$5*Assumptions!$C$140+MAX(0,ROUNDUP($A11/Assumptions!$C$141,0)-1)*Hosting!$C$5)</f>
        <v/>
      </c>
      <c r="D11" s="21">
        <f>C11/$A11</f>
        <v/>
      </c>
      <c r="E11" s="15">
        <f>MAX(Assumptions!$C$145,ROUNDUP($A11/Assumptions!$C$146,0))</f>
        <v/>
      </c>
      <c r="F11" s="21">
        <f>(MAX(Assumptions!$C$145,ROUNDUP($A11/Assumptions!$C$146,0))*Assumptions!$C$144+$A11*Hosting!$C$6)</f>
        <v/>
      </c>
      <c r="G11" s="21">
        <f>F11/$A11</f>
        <v/>
      </c>
      <c r="H11" s="21">
        <f>IF(Assumptions!$C$155=1,(Assumptions!$C$135*Assumptions!$C$140+Hosting!$C$5*Assumptions!$C$140+MAX(0,ROUNDUP($A11/Assumptions!$C$141,0)-1)*Hosting!$C$5),IF(Assumptions!$C$155=2,(MAX(Assumptions!$C$145,ROUNDUP($A11/Assumptions!$C$146,0))*Assumptions!$C$144+$A11*Hosting!$C$6),IF($A11&gt;=Assumptions!$C$156,(MAX(Assumptions!$C$145,ROUNDUP($A11/Assumptions!$C$146,0))*Assumptions!$C$144+$A11*Hosting!$C$6),(Assumptions!$C$135*Assumptions!$C$140+Hosting!$C$5*Assumptions!$C$140+MAX(0,ROUNDUP($A11/Assumptions!$C$141,0)-1)*Hosting!$C$5))))</f>
        <v/>
      </c>
      <c r="I11" s="29">
        <f>H11/$A11</f>
        <v/>
      </c>
      <c r="J11" s="21">
        <f>Assumptions!$C$159*(Assumptions!$C$160+MAX(0,$A11*Assumptions!$C$163-Assumptions!$C$161)*Assumptions!$C$162)</f>
        <v/>
      </c>
      <c r="K11" s="21">
        <f>J11/$A11</f>
        <v/>
      </c>
      <c r="L11" s="29">
        <f>I11+K11</f>
        <v/>
      </c>
    </row>
    <row r="12">
      <c r="A12" s="9" t="n">
        <v>5</v>
      </c>
      <c r="B12" s="15">
        <f>ROUNDUP($A12/Assumptions!$C$141,0)</f>
        <v/>
      </c>
      <c r="C12" s="21">
        <f>(Assumptions!$C$135*Assumptions!$C$140+Hosting!$C$5*Assumptions!$C$140+MAX(0,ROUNDUP($A12/Assumptions!$C$141,0)-1)*Hosting!$C$5)</f>
        <v/>
      </c>
      <c r="D12" s="21">
        <f>C12/$A12</f>
        <v/>
      </c>
      <c r="E12" s="15">
        <f>MAX(Assumptions!$C$145,ROUNDUP($A12/Assumptions!$C$146,0))</f>
        <v/>
      </c>
      <c r="F12" s="21">
        <f>(MAX(Assumptions!$C$145,ROUNDUP($A12/Assumptions!$C$146,0))*Assumptions!$C$144+$A12*Hosting!$C$6)</f>
        <v/>
      </c>
      <c r="G12" s="21">
        <f>F12/$A12</f>
        <v/>
      </c>
      <c r="H12" s="21">
        <f>IF(Assumptions!$C$155=1,(Assumptions!$C$135*Assumptions!$C$140+Hosting!$C$5*Assumptions!$C$140+MAX(0,ROUNDUP($A12/Assumptions!$C$141,0)-1)*Hosting!$C$5),IF(Assumptions!$C$155=2,(MAX(Assumptions!$C$145,ROUNDUP($A12/Assumptions!$C$146,0))*Assumptions!$C$144+$A12*Hosting!$C$6),IF($A12&gt;=Assumptions!$C$156,(MAX(Assumptions!$C$145,ROUNDUP($A12/Assumptions!$C$146,0))*Assumptions!$C$144+$A12*Hosting!$C$6),(Assumptions!$C$135*Assumptions!$C$140+Hosting!$C$5*Assumptions!$C$140+MAX(0,ROUNDUP($A12/Assumptions!$C$141,0)-1)*Hosting!$C$5))))</f>
        <v/>
      </c>
      <c r="I12" s="29">
        <f>H12/$A12</f>
        <v/>
      </c>
      <c r="J12" s="21">
        <f>Assumptions!$C$159*(Assumptions!$C$160+MAX(0,$A12*Assumptions!$C$163-Assumptions!$C$161)*Assumptions!$C$162)</f>
        <v/>
      </c>
      <c r="K12" s="21">
        <f>J12/$A12</f>
        <v/>
      </c>
      <c r="L12" s="29">
        <f>I12+K12</f>
        <v/>
      </c>
    </row>
    <row r="13">
      <c r="A13" s="9" t="n">
        <v>10</v>
      </c>
      <c r="B13" s="15">
        <f>ROUNDUP($A13/Assumptions!$C$141,0)</f>
        <v/>
      </c>
      <c r="C13" s="21">
        <f>(Assumptions!$C$135*Assumptions!$C$140+Hosting!$C$5*Assumptions!$C$140+MAX(0,ROUNDUP($A13/Assumptions!$C$141,0)-1)*Hosting!$C$5)</f>
        <v/>
      </c>
      <c r="D13" s="21">
        <f>C13/$A13</f>
        <v/>
      </c>
      <c r="E13" s="15">
        <f>MAX(Assumptions!$C$145,ROUNDUP($A13/Assumptions!$C$146,0))</f>
        <v/>
      </c>
      <c r="F13" s="21">
        <f>(MAX(Assumptions!$C$145,ROUNDUP($A13/Assumptions!$C$146,0))*Assumptions!$C$144+$A13*Hosting!$C$6)</f>
        <v/>
      </c>
      <c r="G13" s="21">
        <f>F13/$A13</f>
        <v/>
      </c>
      <c r="H13" s="21">
        <f>IF(Assumptions!$C$155=1,(Assumptions!$C$135*Assumptions!$C$140+Hosting!$C$5*Assumptions!$C$140+MAX(0,ROUNDUP($A13/Assumptions!$C$141,0)-1)*Hosting!$C$5),IF(Assumptions!$C$155=2,(MAX(Assumptions!$C$145,ROUNDUP($A13/Assumptions!$C$146,0))*Assumptions!$C$144+$A13*Hosting!$C$6),IF($A13&gt;=Assumptions!$C$156,(MAX(Assumptions!$C$145,ROUNDUP($A13/Assumptions!$C$146,0))*Assumptions!$C$144+$A13*Hosting!$C$6),(Assumptions!$C$135*Assumptions!$C$140+Hosting!$C$5*Assumptions!$C$140+MAX(0,ROUNDUP($A13/Assumptions!$C$141,0)-1)*Hosting!$C$5))))</f>
        <v/>
      </c>
      <c r="I13" s="29">
        <f>H13/$A13</f>
        <v/>
      </c>
      <c r="J13" s="21">
        <f>Assumptions!$C$159*(Assumptions!$C$160+MAX(0,$A13*Assumptions!$C$163-Assumptions!$C$161)*Assumptions!$C$162)</f>
        <v/>
      </c>
      <c r="K13" s="21">
        <f>J13/$A13</f>
        <v/>
      </c>
      <c r="L13" s="29">
        <f>I13+K13</f>
        <v/>
      </c>
    </row>
    <row r="14">
      <c r="A14" s="9" t="n">
        <v>25</v>
      </c>
      <c r="B14" s="15">
        <f>ROUNDUP($A14/Assumptions!$C$141,0)</f>
        <v/>
      </c>
      <c r="C14" s="21">
        <f>(Assumptions!$C$135*Assumptions!$C$140+Hosting!$C$5*Assumptions!$C$140+MAX(0,ROUNDUP($A14/Assumptions!$C$141,0)-1)*Hosting!$C$5)</f>
        <v/>
      </c>
      <c r="D14" s="21">
        <f>C14/$A14</f>
        <v/>
      </c>
      <c r="E14" s="15">
        <f>MAX(Assumptions!$C$145,ROUNDUP($A14/Assumptions!$C$146,0))</f>
        <v/>
      </c>
      <c r="F14" s="21">
        <f>(MAX(Assumptions!$C$145,ROUNDUP($A14/Assumptions!$C$146,0))*Assumptions!$C$144+$A14*Hosting!$C$6)</f>
        <v/>
      </c>
      <c r="G14" s="21">
        <f>F14/$A14</f>
        <v/>
      </c>
      <c r="H14" s="21">
        <f>IF(Assumptions!$C$155=1,(Assumptions!$C$135*Assumptions!$C$140+Hosting!$C$5*Assumptions!$C$140+MAX(0,ROUNDUP($A14/Assumptions!$C$141,0)-1)*Hosting!$C$5),IF(Assumptions!$C$155=2,(MAX(Assumptions!$C$145,ROUNDUP($A14/Assumptions!$C$146,0))*Assumptions!$C$144+$A14*Hosting!$C$6),IF($A14&gt;=Assumptions!$C$156,(MAX(Assumptions!$C$145,ROUNDUP($A14/Assumptions!$C$146,0))*Assumptions!$C$144+$A14*Hosting!$C$6),(Assumptions!$C$135*Assumptions!$C$140+Hosting!$C$5*Assumptions!$C$140+MAX(0,ROUNDUP($A14/Assumptions!$C$141,0)-1)*Hosting!$C$5))))</f>
        <v/>
      </c>
      <c r="I14" s="29">
        <f>H14/$A14</f>
        <v/>
      </c>
      <c r="J14" s="21">
        <f>Assumptions!$C$159*(Assumptions!$C$160+MAX(0,$A14*Assumptions!$C$163-Assumptions!$C$161)*Assumptions!$C$162)</f>
        <v/>
      </c>
      <c r="K14" s="21">
        <f>J14/$A14</f>
        <v/>
      </c>
      <c r="L14" s="29">
        <f>I14+K14</f>
        <v/>
      </c>
    </row>
    <row r="15">
      <c r="A15" s="9" t="n">
        <v>50</v>
      </c>
      <c r="B15" s="15">
        <f>ROUNDUP($A15/Assumptions!$C$141,0)</f>
        <v/>
      </c>
      <c r="C15" s="21">
        <f>(Assumptions!$C$135*Assumptions!$C$140+Hosting!$C$5*Assumptions!$C$140+MAX(0,ROUNDUP($A15/Assumptions!$C$141,0)-1)*Hosting!$C$5)</f>
        <v/>
      </c>
      <c r="D15" s="21">
        <f>C15/$A15</f>
        <v/>
      </c>
      <c r="E15" s="15">
        <f>MAX(Assumptions!$C$145,ROUNDUP($A15/Assumptions!$C$146,0))</f>
        <v/>
      </c>
      <c r="F15" s="21">
        <f>(MAX(Assumptions!$C$145,ROUNDUP($A15/Assumptions!$C$146,0))*Assumptions!$C$144+$A15*Hosting!$C$6)</f>
        <v/>
      </c>
      <c r="G15" s="21">
        <f>F15/$A15</f>
        <v/>
      </c>
      <c r="H15" s="21">
        <f>IF(Assumptions!$C$155=1,(Assumptions!$C$135*Assumptions!$C$140+Hosting!$C$5*Assumptions!$C$140+MAX(0,ROUNDUP($A15/Assumptions!$C$141,0)-1)*Hosting!$C$5),IF(Assumptions!$C$155=2,(MAX(Assumptions!$C$145,ROUNDUP($A15/Assumptions!$C$146,0))*Assumptions!$C$144+$A15*Hosting!$C$6),IF($A15&gt;=Assumptions!$C$156,(MAX(Assumptions!$C$145,ROUNDUP($A15/Assumptions!$C$146,0))*Assumptions!$C$144+$A15*Hosting!$C$6),(Assumptions!$C$135*Assumptions!$C$140+Hosting!$C$5*Assumptions!$C$140+MAX(0,ROUNDUP($A15/Assumptions!$C$141,0)-1)*Hosting!$C$5))))</f>
        <v/>
      </c>
      <c r="I15" s="29">
        <f>H15/$A15</f>
        <v/>
      </c>
      <c r="J15" s="21">
        <f>Assumptions!$C$159*(Assumptions!$C$160+MAX(0,$A15*Assumptions!$C$163-Assumptions!$C$161)*Assumptions!$C$162)</f>
        <v/>
      </c>
      <c r="K15" s="21">
        <f>J15/$A15</f>
        <v/>
      </c>
      <c r="L15" s="29">
        <f>I15+K15</f>
        <v/>
      </c>
    </row>
    <row r="16">
      <c r="A16" s="9" t="n">
        <v>100</v>
      </c>
      <c r="B16" s="15">
        <f>ROUNDUP($A16/Assumptions!$C$141,0)</f>
        <v/>
      </c>
      <c r="C16" s="21">
        <f>(Assumptions!$C$135*Assumptions!$C$140+Hosting!$C$5*Assumptions!$C$140+MAX(0,ROUNDUP($A16/Assumptions!$C$141,0)-1)*Hosting!$C$5)</f>
        <v/>
      </c>
      <c r="D16" s="21">
        <f>C16/$A16</f>
        <v/>
      </c>
      <c r="E16" s="15">
        <f>MAX(Assumptions!$C$145,ROUNDUP($A16/Assumptions!$C$146,0))</f>
        <v/>
      </c>
      <c r="F16" s="21">
        <f>(MAX(Assumptions!$C$145,ROUNDUP($A16/Assumptions!$C$146,0))*Assumptions!$C$144+$A16*Hosting!$C$6)</f>
        <v/>
      </c>
      <c r="G16" s="21">
        <f>F16/$A16</f>
        <v/>
      </c>
      <c r="H16" s="21">
        <f>IF(Assumptions!$C$155=1,(Assumptions!$C$135*Assumptions!$C$140+Hosting!$C$5*Assumptions!$C$140+MAX(0,ROUNDUP($A16/Assumptions!$C$141,0)-1)*Hosting!$C$5),IF(Assumptions!$C$155=2,(MAX(Assumptions!$C$145,ROUNDUP($A16/Assumptions!$C$146,0))*Assumptions!$C$144+$A16*Hosting!$C$6),IF($A16&gt;=Assumptions!$C$156,(MAX(Assumptions!$C$145,ROUNDUP($A16/Assumptions!$C$146,0))*Assumptions!$C$144+$A16*Hosting!$C$6),(Assumptions!$C$135*Assumptions!$C$140+Hosting!$C$5*Assumptions!$C$140+MAX(0,ROUNDUP($A16/Assumptions!$C$141,0)-1)*Hosting!$C$5))))</f>
        <v/>
      </c>
      <c r="I16" s="29">
        <f>H16/$A16</f>
        <v/>
      </c>
      <c r="J16" s="21">
        <f>Assumptions!$C$159*(Assumptions!$C$160+MAX(0,$A16*Assumptions!$C$163-Assumptions!$C$161)*Assumptions!$C$162)</f>
        <v/>
      </c>
      <c r="K16" s="21">
        <f>J16/$A16</f>
        <v/>
      </c>
      <c r="L16" s="29">
        <f>I16+K16</f>
        <v/>
      </c>
    </row>
    <row r="17">
      <c r="A17" s="9" t="n">
        <v>250</v>
      </c>
      <c r="B17" s="15">
        <f>ROUNDUP($A17/Assumptions!$C$141,0)</f>
        <v/>
      </c>
      <c r="C17" s="21">
        <f>(Assumptions!$C$135*Assumptions!$C$140+Hosting!$C$5*Assumptions!$C$140+MAX(0,ROUNDUP($A17/Assumptions!$C$141,0)-1)*Hosting!$C$5)</f>
        <v/>
      </c>
      <c r="D17" s="21">
        <f>C17/$A17</f>
        <v/>
      </c>
      <c r="E17" s="15">
        <f>MAX(Assumptions!$C$145,ROUNDUP($A17/Assumptions!$C$146,0))</f>
        <v/>
      </c>
      <c r="F17" s="21">
        <f>(MAX(Assumptions!$C$145,ROUNDUP($A17/Assumptions!$C$146,0))*Assumptions!$C$144+$A17*Hosting!$C$6)</f>
        <v/>
      </c>
      <c r="G17" s="21">
        <f>F17/$A17</f>
        <v/>
      </c>
      <c r="H17" s="21">
        <f>IF(Assumptions!$C$155=1,(Assumptions!$C$135*Assumptions!$C$140+Hosting!$C$5*Assumptions!$C$140+MAX(0,ROUNDUP($A17/Assumptions!$C$141,0)-1)*Hosting!$C$5),IF(Assumptions!$C$155=2,(MAX(Assumptions!$C$145,ROUNDUP($A17/Assumptions!$C$146,0))*Assumptions!$C$144+$A17*Hosting!$C$6),IF($A17&gt;=Assumptions!$C$156,(MAX(Assumptions!$C$145,ROUNDUP($A17/Assumptions!$C$146,0))*Assumptions!$C$144+$A17*Hosting!$C$6),(Assumptions!$C$135*Assumptions!$C$140+Hosting!$C$5*Assumptions!$C$140+MAX(0,ROUNDUP($A17/Assumptions!$C$141,0)-1)*Hosting!$C$5))))</f>
        <v/>
      </c>
      <c r="I17" s="29">
        <f>H17/$A17</f>
        <v/>
      </c>
      <c r="J17" s="21">
        <f>Assumptions!$C$159*(Assumptions!$C$160+MAX(0,$A17*Assumptions!$C$163-Assumptions!$C$161)*Assumptions!$C$162)</f>
        <v/>
      </c>
      <c r="K17" s="21">
        <f>J17/$A17</f>
        <v/>
      </c>
      <c r="L17" s="29">
        <f>I17+K17</f>
        <v/>
      </c>
    </row>
    <row r="18">
      <c r="A18" s="9" t="n">
        <v>500</v>
      </c>
      <c r="B18" s="15">
        <f>ROUNDUP($A18/Assumptions!$C$141,0)</f>
        <v/>
      </c>
      <c r="C18" s="21">
        <f>(Assumptions!$C$135*Assumptions!$C$140+Hosting!$C$5*Assumptions!$C$140+MAX(0,ROUNDUP($A18/Assumptions!$C$141,0)-1)*Hosting!$C$5)</f>
        <v/>
      </c>
      <c r="D18" s="21">
        <f>C18/$A18</f>
        <v/>
      </c>
      <c r="E18" s="15">
        <f>MAX(Assumptions!$C$145,ROUNDUP($A18/Assumptions!$C$146,0))</f>
        <v/>
      </c>
      <c r="F18" s="21">
        <f>(MAX(Assumptions!$C$145,ROUNDUP($A18/Assumptions!$C$146,0))*Assumptions!$C$144+$A18*Hosting!$C$6)</f>
        <v/>
      </c>
      <c r="G18" s="21">
        <f>F18/$A18</f>
        <v/>
      </c>
      <c r="H18" s="21">
        <f>IF(Assumptions!$C$155=1,(Assumptions!$C$135*Assumptions!$C$140+Hosting!$C$5*Assumptions!$C$140+MAX(0,ROUNDUP($A18/Assumptions!$C$141,0)-1)*Hosting!$C$5),IF(Assumptions!$C$155=2,(MAX(Assumptions!$C$145,ROUNDUP($A18/Assumptions!$C$146,0))*Assumptions!$C$144+$A18*Hosting!$C$6),IF($A18&gt;=Assumptions!$C$156,(MAX(Assumptions!$C$145,ROUNDUP($A18/Assumptions!$C$146,0))*Assumptions!$C$144+$A18*Hosting!$C$6),(Assumptions!$C$135*Assumptions!$C$140+Hosting!$C$5*Assumptions!$C$140+MAX(0,ROUNDUP($A18/Assumptions!$C$141,0)-1)*Hosting!$C$5))))</f>
        <v/>
      </c>
      <c r="I18" s="29">
        <f>H18/$A18</f>
        <v/>
      </c>
      <c r="J18" s="21">
        <f>Assumptions!$C$159*(Assumptions!$C$160+MAX(0,$A18*Assumptions!$C$163-Assumptions!$C$161)*Assumptions!$C$162)</f>
        <v/>
      </c>
      <c r="K18" s="21">
        <f>J18/$A18</f>
        <v/>
      </c>
      <c r="L18" s="29">
        <f>I18+K18</f>
        <v/>
      </c>
    </row>
  </sheetData>
  <pageMargins left="0.75" right="0.75" top="1" bottom="1" header="0.5" footer="0.5"/>
</worksheet>
</file>

<file path=xl/worksheets/sheet7.xml><?xml version="1.0" encoding="utf-8"?>
<worksheet xmlns="http://schemas.openxmlformats.org/spreadsheetml/2006/main">
  <sheetPr>
    <tabColor rgb="008051FF"/>
    <outlinePr summaryBelow="1" summaryRight="1"/>
    <pageSetUpPr/>
  </sheetPr>
  <dimension ref="A1:O9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16" customWidth="1" min="4" max="4"/>
    <col width="16" customWidth="1" min="5" max="5"/>
    <col width="18" customWidth="1" min="6" max="6"/>
    <col width="16" customWidth="1" min="7" max="7"/>
    <col width="16" customWidth="1" min="8" max="8"/>
    <col width="16" customWidth="1" min="9" max="9"/>
    <col width="16" customWidth="1" min="10" max="10"/>
    <col width="18" customWidth="1" min="11" max="11"/>
    <col width="14" customWidth="1" min="12" max="12"/>
    <col width="16" customWidth="1" min="13" max="13"/>
    <col width="14" customWidth="1" min="14" max="14"/>
    <col width="18" customWidth="1" min="15" max="15"/>
  </cols>
  <sheetData>
    <row r="1" ht="22" customHeight="1">
      <c r="A1" s="1" t="inlineStr">
        <is>
          <t>Forecast: 24 months, three scenarios</t>
        </is>
      </c>
      <c r="B1" s="2" t="n"/>
      <c r="C1" s="2" t="n"/>
      <c r="D1" s="2" t="n"/>
      <c r="E1" s="2" t="n"/>
      <c r="F1" s="2" t="n"/>
      <c r="G1" s="2" t="n"/>
      <c r="H1" s="2" t="n"/>
      <c r="I1" s="2" t="n"/>
      <c r="J1" s="2" t="n"/>
      <c r="K1" s="2" t="n"/>
      <c r="L1" s="2" t="n"/>
      <c r="M1" s="2" t="n"/>
      <c r="N1" s="2" t="n"/>
      <c r="O1" s="2" t="n"/>
    </row>
    <row r="2">
      <c r="A2" s="3" t="inlineStr">
        <is>
          <t>Tenants ramp to a share of the addressable firms at month 24. Revenue and cost per tenant come from Tiers.</t>
        </is>
      </c>
      <c r="B2" s="2" t="n"/>
      <c r="C2" s="2" t="n"/>
      <c r="D2" s="2" t="n"/>
      <c r="E2" s="2" t="n"/>
      <c r="F2" s="2" t="n"/>
      <c r="G2" s="2" t="n"/>
      <c r="H2" s="2" t="n"/>
      <c r="I2" s="2" t="n"/>
      <c r="J2" s="2" t="n"/>
      <c r="K2" s="2" t="n"/>
      <c r="L2" s="2" t="n"/>
      <c r="M2" s="2" t="n"/>
      <c r="N2" s="2" t="n"/>
      <c r="O2" s="2" t="n"/>
    </row>
    <row r="4" ht="30" customHeight="1">
      <c r="A4" s="4" t="inlineStr">
        <is>
          <t>Scenario</t>
        </is>
      </c>
      <c r="B4" s="4" t="inlineStr">
        <is>
          <t>Share of firms at month 24</t>
        </is>
      </c>
      <c r="C4" s="4" t="inlineStr">
        <is>
          <t>Addressable firms</t>
        </is>
      </c>
      <c r="D4" s="4" t="inlineStr">
        <is>
          <t>Tenants, month 12</t>
        </is>
      </c>
      <c r="E4" s="4" t="inlineStr">
        <is>
          <t>MRR, month 12</t>
        </is>
      </c>
      <c r="F4" s="4" t="inlineStr">
        <is>
          <t>Tenants, month 24</t>
        </is>
      </c>
      <c r="G4" s="4" t="inlineStr">
        <is>
          <t>MRR, month 24</t>
        </is>
      </c>
      <c r="H4" s="4" t="inlineStr">
        <is>
          <t>ARR, month 24</t>
        </is>
      </c>
      <c r="I4" s="4" t="inlineStr">
        <is>
          <t>Gross margin, month 24</t>
        </is>
      </c>
      <c r="J4" s="4" t="inlineStr">
        <is>
          <t>One-time fees, 24 months</t>
        </is>
      </c>
      <c r="K4" s="4" t="inlineStr">
        <is>
          <t>Revenue, 24 months</t>
        </is>
      </c>
    </row>
    <row r="5">
      <c r="A5" s="28" t="inlineStr">
        <is>
          <t>Low</t>
        </is>
      </c>
      <c r="B5" s="19">
        <f>Assumptions!$C$13</f>
        <v/>
      </c>
      <c r="C5" s="15">
        <f>Assumptions!$C$12</f>
        <v/>
      </c>
      <c r="D5" s="15">
        <f>B24</f>
        <v/>
      </c>
      <c r="E5" s="37">
        <f>G24</f>
        <v/>
      </c>
      <c r="F5" s="15">
        <f>B36</f>
        <v/>
      </c>
      <c r="G5" s="33">
        <f>G36</f>
        <v/>
      </c>
      <c r="H5" s="33">
        <f>H36</f>
        <v/>
      </c>
      <c r="I5" s="31">
        <f>N36</f>
        <v/>
      </c>
      <c r="J5" s="37">
        <f>SUM(I13:I36)</f>
        <v/>
      </c>
      <c r="K5" s="37">
        <f>O36</f>
        <v/>
      </c>
    </row>
    <row r="6">
      <c r="A6" s="28" t="inlineStr">
        <is>
          <t>Base</t>
        </is>
      </c>
      <c r="B6" s="19">
        <f>Assumptions!$C$14</f>
        <v/>
      </c>
      <c r="C6" s="15">
        <f>Assumptions!$C$12</f>
        <v/>
      </c>
      <c r="D6" s="15">
        <f>B52</f>
        <v/>
      </c>
      <c r="E6" s="37">
        <f>G52</f>
        <v/>
      </c>
      <c r="F6" s="15">
        <f>B64</f>
        <v/>
      </c>
      <c r="G6" s="33">
        <f>G64</f>
        <v/>
      </c>
      <c r="H6" s="33">
        <f>H64</f>
        <v/>
      </c>
      <c r="I6" s="31">
        <f>N64</f>
        <v/>
      </c>
      <c r="J6" s="37">
        <f>SUM(I41:I64)</f>
        <v/>
      </c>
      <c r="K6" s="37">
        <f>O64</f>
        <v/>
      </c>
    </row>
    <row r="7">
      <c r="A7" s="28" t="inlineStr">
        <is>
          <t>High</t>
        </is>
      </c>
      <c r="B7" s="19">
        <f>Assumptions!$C$15</f>
        <v/>
      </c>
      <c r="C7" s="15">
        <f>Assumptions!$C$12</f>
        <v/>
      </c>
      <c r="D7" s="15">
        <f>B80</f>
        <v/>
      </c>
      <c r="E7" s="37">
        <f>G80</f>
        <v/>
      </c>
      <c r="F7" s="15">
        <f>B92</f>
        <v/>
      </c>
      <c r="G7" s="33">
        <f>G92</f>
        <v/>
      </c>
      <c r="H7" s="33">
        <f>H92</f>
        <v/>
      </c>
      <c r="I7" s="31">
        <f>N92</f>
        <v/>
      </c>
      <c r="J7" s="37">
        <f>SUM(I69:I92)</f>
        <v/>
      </c>
      <c r="K7" s="37">
        <f>O92</f>
        <v/>
      </c>
    </row>
    <row r="9">
      <c r="A9" s="23" t="inlineStr">
        <is>
          <t>Market case is mkt_case on the Assumptions sheet. Gross margin is tool cost only.</t>
        </is>
      </c>
    </row>
    <row r="11">
      <c r="A11" s="5" t="inlineStr">
        <is>
          <t>Low scenario</t>
        </is>
      </c>
      <c r="B11" s="6" t="n"/>
      <c r="C11" s="6" t="n"/>
      <c r="D11" s="6" t="n"/>
      <c r="E11" s="6" t="n"/>
      <c r="F11" s="6" t="n"/>
      <c r="G11" s="6" t="n"/>
      <c r="H11" s="6" t="n"/>
      <c r="I11" s="6" t="n"/>
      <c r="J11" s="6" t="n"/>
      <c r="K11" s="6" t="n"/>
      <c r="L11" s="6" t="n"/>
      <c r="M11" s="6" t="n"/>
      <c r="N11" s="6" t="n"/>
      <c r="O11" s="6" t="n"/>
    </row>
    <row r="12" ht="30" customHeight="1">
      <c r="A12" s="4" t="inlineStr">
        <is>
          <t>Month</t>
        </is>
      </c>
      <c r="B12" s="4" t="inlineStr">
        <is>
          <t>Active tenants</t>
        </is>
      </c>
      <c r="C12" s="4" t="inlineStr">
        <is>
          <t>New tenants</t>
        </is>
      </c>
      <c r="D12" s="4" t="inlineStr">
        <is>
          <t>Platform MRR</t>
        </is>
      </c>
      <c r="E12" s="4" t="inlineStr">
        <is>
          <t>Add-on MRR</t>
        </is>
      </c>
      <c r="F12" s="4" t="inlineStr">
        <is>
          <t>Overage and resale MRR</t>
        </is>
      </c>
      <c r="G12" s="4" t="inlineStr">
        <is>
          <t>Total MRR</t>
        </is>
      </c>
      <c r="H12" s="4" t="inlineStr">
        <is>
          <t>ARR run rate</t>
        </is>
      </c>
      <c r="I12" s="4" t="inlineStr">
        <is>
          <t>One-time fees</t>
        </is>
      </c>
      <c r="J12" s="4" t="inlineStr">
        <is>
          <t>Cost: usage</t>
        </is>
      </c>
      <c r="K12" s="4" t="inlineStr">
        <is>
          <t>Cost: hosting, sites and lead lines</t>
        </is>
      </c>
      <c r="L12" s="4" t="inlineStr">
        <is>
          <t>Cost: one-time</t>
        </is>
      </c>
      <c r="M12" s="4" t="inlineStr">
        <is>
          <t>Gross profit</t>
        </is>
      </c>
      <c r="N12" s="4" t="inlineStr">
        <is>
          <t>Gross margin</t>
        </is>
      </c>
      <c r="O12" s="4" t="inlineStr">
        <is>
          <t>Cumulative revenue</t>
        </is>
      </c>
    </row>
    <row r="13">
      <c r="A13" s="15" t="n">
        <v>1</v>
      </c>
      <c r="B13" s="15">
        <f>MAX(Assumptions!$C$17,ROUND(Assumptions!$C$12*Assumptions!$C$13*(A13/24)^Assumptions!$C$16,0))</f>
        <v/>
      </c>
      <c r="C13" s="15">
        <f>MAX(0,B13-Assumptions!$C$17+ROUND(Assumptions!$C$18*Assumptions!$C$17,0))</f>
        <v/>
      </c>
      <c r="D13" s="37">
        <f>B13*Assumptions!$C$21</f>
        <v/>
      </c>
      <c r="E13" s="37">
        <f>B13*Tiers!$B$24</f>
        <v/>
      </c>
      <c r="F13" s="37">
        <f>B13*Tiers!$B$25</f>
        <v/>
      </c>
      <c r="G13" s="38">
        <f>D13+E13+F13</f>
        <v/>
      </c>
      <c r="H13" s="37">
        <f>G13*12</f>
        <v/>
      </c>
      <c r="I13" s="37">
        <f>C13*Tiers!$B$27</f>
        <v/>
      </c>
      <c r="J13" s="37">
        <f>B13*Tiers!$B$26</f>
        <v/>
      </c>
      <c r="K13" s="37">
        <f>IF(Assumptions!$C$155=1,(Assumptions!$C$135*Assumptions!$C$140+Hosting!$C$5*Assumptions!$C$140+MAX(0,ROUNDUP(B13/Assumptions!$C$141,0)-1)*Hosting!$C$5),IF(Assumptions!$C$155=2,(MAX(Assumptions!$C$145,ROUNDUP(B13/Assumptions!$C$146,0))*Assumptions!$C$144+B13*Hosting!$C$6),IF(B13&gt;=Assumptions!$C$156,(MAX(Assumptions!$C$145,ROUNDUP(B13/Assumptions!$C$146,0))*Assumptions!$C$144+B13*Hosting!$C$6),(Assumptions!$C$135*Assumptions!$C$140+Hosting!$C$5*Assumptions!$C$140+MAX(0,ROUNDUP(B13/Assumptions!$C$141,0)-1)*Hosting!$C$5))))+Assumptions!$C$159*(Assumptions!$C$160+MAX(0,B13*Assumptions!$C$163-Assumptions!$C$161)*Assumptions!$C$162)+Assumptions!$C$164*Assumptions!$C$165+B13*(Assumptions!$C$168+Assumptions!$C$169)</f>
        <v/>
      </c>
      <c r="L13" s="37">
        <f>C13*Tiers!$B$28</f>
        <v/>
      </c>
      <c r="M13" s="37">
        <f>G13+I13-J13-K13-L13</f>
        <v/>
      </c>
      <c r="N13" s="19">
        <f>IF(G13+I13&gt;0,M13/(G13+I13),0)</f>
        <v/>
      </c>
      <c r="O13" s="37">
        <f>G13+I13</f>
        <v/>
      </c>
    </row>
    <row r="14">
      <c r="A14" s="15" t="n">
        <v>2</v>
      </c>
      <c r="B14" s="15">
        <f>MAX(Assumptions!$C$17,ROUND(Assumptions!$C$12*Assumptions!$C$13*(A14/24)^Assumptions!$C$16,0))</f>
        <v/>
      </c>
      <c r="C14" s="15">
        <f>MAX(0,B14-B13+ROUND(Assumptions!$C$18*B13,0))</f>
        <v/>
      </c>
      <c r="D14" s="37">
        <f>B14*Assumptions!$C$21</f>
        <v/>
      </c>
      <c r="E14" s="37">
        <f>B14*Tiers!$B$24</f>
        <v/>
      </c>
      <c r="F14" s="37">
        <f>B14*Tiers!$B$25</f>
        <v/>
      </c>
      <c r="G14" s="38">
        <f>D14+E14+F14</f>
        <v/>
      </c>
      <c r="H14" s="37">
        <f>G14*12</f>
        <v/>
      </c>
      <c r="I14" s="37">
        <f>C14*Tiers!$B$27</f>
        <v/>
      </c>
      <c r="J14" s="37">
        <f>B14*Tiers!$B$26</f>
        <v/>
      </c>
      <c r="K14" s="37">
        <f>IF(Assumptions!$C$155=1,(Assumptions!$C$135*Assumptions!$C$140+Hosting!$C$5*Assumptions!$C$140+MAX(0,ROUNDUP(B14/Assumptions!$C$141,0)-1)*Hosting!$C$5),IF(Assumptions!$C$155=2,(MAX(Assumptions!$C$145,ROUNDUP(B14/Assumptions!$C$146,0))*Assumptions!$C$144+B14*Hosting!$C$6),IF(B14&gt;=Assumptions!$C$156,(MAX(Assumptions!$C$145,ROUNDUP(B14/Assumptions!$C$146,0))*Assumptions!$C$144+B14*Hosting!$C$6),(Assumptions!$C$135*Assumptions!$C$140+Hosting!$C$5*Assumptions!$C$140+MAX(0,ROUNDUP(B14/Assumptions!$C$141,0)-1)*Hosting!$C$5))))+Assumptions!$C$159*(Assumptions!$C$160+MAX(0,B14*Assumptions!$C$163-Assumptions!$C$161)*Assumptions!$C$162)+Assumptions!$C$164*Assumptions!$C$165+B14*(Assumptions!$C$168+Assumptions!$C$169)</f>
        <v/>
      </c>
      <c r="L14" s="37">
        <f>C14*Tiers!$B$28</f>
        <v/>
      </c>
      <c r="M14" s="37">
        <f>G14+I14-J14-K14-L14</f>
        <v/>
      </c>
      <c r="N14" s="19">
        <f>IF(G14+I14&gt;0,M14/(G14+I14),0)</f>
        <v/>
      </c>
      <c r="O14" s="37">
        <f>O13+G14+I14</f>
        <v/>
      </c>
    </row>
    <row r="15">
      <c r="A15" s="15" t="n">
        <v>3</v>
      </c>
      <c r="B15" s="15">
        <f>MAX(Assumptions!$C$17,ROUND(Assumptions!$C$12*Assumptions!$C$13*(A15/24)^Assumptions!$C$16,0))</f>
        <v/>
      </c>
      <c r="C15" s="15">
        <f>MAX(0,B15-B14+ROUND(Assumptions!$C$18*B14,0))</f>
        <v/>
      </c>
      <c r="D15" s="37">
        <f>B15*Assumptions!$C$21</f>
        <v/>
      </c>
      <c r="E15" s="37">
        <f>B15*Tiers!$B$24</f>
        <v/>
      </c>
      <c r="F15" s="37">
        <f>B15*Tiers!$B$25</f>
        <v/>
      </c>
      <c r="G15" s="38">
        <f>D15+E15+F15</f>
        <v/>
      </c>
      <c r="H15" s="37">
        <f>G15*12</f>
        <v/>
      </c>
      <c r="I15" s="37">
        <f>C15*Tiers!$B$27</f>
        <v/>
      </c>
      <c r="J15" s="37">
        <f>B15*Tiers!$B$26</f>
        <v/>
      </c>
      <c r="K15" s="37">
        <f>IF(Assumptions!$C$155=1,(Assumptions!$C$135*Assumptions!$C$140+Hosting!$C$5*Assumptions!$C$140+MAX(0,ROUNDUP(B15/Assumptions!$C$141,0)-1)*Hosting!$C$5),IF(Assumptions!$C$155=2,(MAX(Assumptions!$C$145,ROUNDUP(B15/Assumptions!$C$146,0))*Assumptions!$C$144+B15*Hosting!$C$6),IF(B15&gt;=Assumptions!$C$156,(MAX(Assumptions!$C$145,ROUNDUP(B15/Assumptions!$C$146,0))*Assumptions!$C$144+B15*Hosting!$C$6),(Assumptions!$C$135*Assumptions!$C$140+Hosting!$C$5*Assumptions!$C$140+MAX(0,ROUNDUP(B15/Assumptions!$C$141,0)-1)*Hosting!$C$5))))+Assumptions!$C$159*(Assumptions!$C$160+MAX(0,B15*Assumptions!$C$163-Assumptions!$C$161)*Assumptions!$C$162)+Assumptions!$C$164*Assumptions!$C$165+B15*(Assumptions!$C$168+Assumptions!$C$169)</f>
        <v/>
      </c>
      <c r="L15" s="37">
        <f>C15*Tiers!$B$28</f>
        <v/>
      </c>
      <c r="M15" s="37">
        <f>G15+I15-J15-K15-L15</f>
        <v/>
      </c>
      <c r="N15" s="19">
        <f>IF(G15+I15&gt;0,M15/(G15+I15),0)</f>
        <v/>
      </c>
      <c r="O15" s="37">
        <f>O14+G15+I15</f>
        <v/>
      </c>
    </row>
    <row r="16">
      <c r="A16" s="15" t="n">
        <v>4</v>
      </c>
      <c r="B16" s="15">
        <f>MAX(Assumptions!$C$17,ROUND(Assumptions!$C$12*Assumptions!$C$13*(A16/24)^Assumptions!$C$16,0))</f>
        <v/>
      </c>
      <c r="C16" s="15">
        <f>MAX(0,B16-B15+ROUND(Assumptions!$C$18*B15,0))</f>
        <v/>
      </c>
      <c r="D16" s="37">
        <f>B16*Assumptions!$C$21</f>
        <v/>
      </c>
      <c r="E16" s="37">
        <f>B16*Tiers!$B$24</f>
        <v/>
      </c>
      <c r="F16" s="37">
        <f>B16*Tiers!$B$25</f>
        <v/>
      </c>
      <c r="G16" s="38">
        <f>D16+E16+F16</f>
        <v/>
      </c>
      <c r="H16" s="37">
        <f>G16*12</f>
        <v/>
      </c>
      <c r="I16" s="37">
        <f>C16*Tiers!$B$27</f>
        <v/>
      </c>
      <c r="J16" s="37">
        <f>B16*Tiers!$B$26</f>
        <v/>
      </c>
      <c r="K16" s="37">
        <f>IF(Assumptions!$C$155=1,(Assumptions!$C$135*Assumptions!$C$140+Hosting!$C$5*Assumptions!$C$140+MAX(0,ROUNDUP(B16/Assumptions!$C$141,0)-1)*Hosting!$C$5),IF(Assumptions!$C$155=2,(MAX(Assumptions!$C$145,ROUNDUP(B16/Assumptions!$C$146,0))*Assumptions!$C$144+B16*Hosting!$C$6),IF(B16&gt;=Assumptions!$C$156,(MAX(Assumptions!$C$145,ROUNDUP(B16/Assumptions!$C$146,0))*Assumptions!$C$144+B16*Hosting!$C$6),(Assumptions!$C$135*Assumptions!$C$140+Hosting!$C$5*Assumptions!$C$140+MAX(0,ROUNDUP(B16/Assumptions!$C$141,0)-1)*Hosting!$C$5))))+Assumptions!$C$159*(Assumptions!$C$160+MAX(0,B16*Assumptions!$C$163-Assumptions!$C$161)*Assumptions!$C$162)+Assumptions!$C$164*Assumptions!$C$165+B16*(Assumptions!$C$168+Assumptions!$C$169)</f>
        <v/>
      </c>
      <c r="L16" s="37">
        <f>C16*Tiers!$B$28</f>
        <v/>
      </c>
      <c r="M16" s="37">
        <f>G16+I16-J16-K16-L16</f>
        <v/>
      </c>
      <c r="N16" s="19">
        <f>IF(G16+I16&gt;0,M16/(G16+I16),0)</f>
        <v/>
      </c>
      <c r="O16" s="37">
        <f>O15+G16+I16</f>
        <v/>
      </c>
    </row>
    <row r="17">
      <c r="A17" s="15" t="n">
        <v>5</v>
      </c>
      <c r="B17" s="15">
        <f>MAX(Assumptions!$C$17,ROUND(Assumptions!$C$12*Assumptions!$C$13*(A17/24)^Assumptions!$C$16,0))</f>
        <v/>
      </c>
      <c r="C17" s="15">
        <f>MAX(0,B17-B16+ROUND(Assumptions!$C$18*B16,0))</f>
        <v/>
      </c>
      <c r="D17" s="37">
        <f>B17*Assumptions!$C$21</f>
        <v/>
      </c>
      <c r="E17" s="37">
        <f>B17*Tiers!$B$24</f>
        <v/>
      </c>
      <c r="F17" s="37">
        <f>B17*Tiers!$B$25</f>
        <v/>
      </c>
      <c r="G17" s="38">
        <f>D17+E17+F17</f>
        <v/>
      </c>
      <c r="H17" s="37">
        <f>G17*12</f>
        <v/>
      </c>
      <c r="I17" s="37">
        <f>C17*Tiers!$B$27</f>
        <v/>
      </c>
      <c r="J17" s="37">
        <f>B17*Tiers!$B$26</f>
        <v/>
      </c>
      <c r="K17" s="37">
        <f>IF(Assumptions!$C$155=1,(Assumptions!$C$135*Assumptions!$C$140+Hosting!$C$5*Assumptions!$C$140+MAX(0,ROUNDUP(B17/Assumptions!$C$141,0)-1)*Hosting!$C$5),IF(Assumptions!$C$155=2,(MAX(Assumptions!$C$145,ROUNDUP(B17/Assumptions!$C$146,0))*Assumptions!$C$144+B17*Hosting!$C$6),IF(B17&gt;=Assumptions!$C$156,(MAX(Assumptions!$C$145,ROUNDUP(B17/Assumptions!$C$146,0))*Assumptions!$C$144+B17*Hosting!$C$6),(Assumptions!$C$135*Assumptions!$C$140+Hosting!$C$5*Assumptions!$C$140+MAX(0,ROUNDUP(B17/Assumptions!$C$141,0)-1)*Hosting!$C$5))))+Assumptions!$C$159*(Assumptions!$C$160+MAX(0,B17*Assumptions!$C$163-Assumptions!$C$161)*Assumptions!$C$162)+Assumptions!$C$164*Assumptions!$C$165+B17*(Assumptions!$C$168+Assumptions!$C$169)</f>
        <v/>
      </c>
      <c r="L17" s="37">
        <f>C17*Tiers!$B$28</f>
        <v/>
      </c>
      <c r="M17" s="37">
        <f>G17+I17-J17-K17-L17</f>
        <v/>
      </c>
      <c r="N17" s="19">
        <f>IF(G17+I17&gt;0,M17/(G17+I17),0)</f>
        <v/>
      </c>
      <c r="O17" s="37">
        <f>O16+G17+I17</f>
        <v/>
      </c>
    </row>
    <row r="18">
      <c r="A18" s="15" t="n">
        <v>6</v>
      </c>
      <c r="B18" s="15">
        <f>MAX(Assumptions!$C$17,ROUND(Assumptions!$C$12*Assumptions!$C$13*(A18/24)^Assumptions!$C$16,0))</f>
        <v/>
      </c>
      <c r="C18" s="15">
        <f>MAX(0,B18-B17+ROUND(Assumptions!$C$18*B17,0))</f>
        <v/>
      </c>
      <c r="D18" s="37">
        <f>B18*Assumptions!$C$21</f>
        <v/>
      </c>
      <c r="E18" s="37">
        <f>B18*Tiers!$B$24</f>
        <v/>
      </c>
      <c r="F18" s="37">
        <f>B18*Tiers!$B$25</f>
        <v/>
      </c>
      <c r="G18" s="38">
        <f>D18+E18+F18</f>
        <v/>
      </c>
      <c r="H18" s="37">
        <f>G18*12</f>
        <v/>
      </c>
      <c r="I18" s="37">
        <f>C18*Tiers!$B$27</f>
        <v/>
      </c>
      <c r="J18" s="37">
        <f>B18*Tiers!$B$26</f>
        <v/>
      </c>
      <c r="K18" s="37">
        <f>IF(Assumptions!$C$155=1,(Assumptions!$C$135*Assumptions!$C$140+Hosting!$C$5*Assumptions!$C$140+MAX(0,ROUNDUP(B18/Assumptions!$C$141,0)-1)*Hosting!$C$5),IF(Assumptions!$C$155=2,(MAX(Assumptions!$C$145,ROUNDUP(B18/Assumptions!$C$146,0))*Assumptions!$C$144+B18*Hosting!$C$6),IF(B18&gt;=Assumptions!$C$156,(MAX(Assumptions!$C$145,ROUNDUP(B18/Assumptions!$C$146,0))*Assumptions!$C$144+B18*Hosting!$C$6),(Assumptions!$C$135*Assumptions!$C$140+Hosting!$C$5*Assumptions!$C$140+MAX(0,ROUNDUP(B18/Assumptions!$C$141,0)-1)*Hosting!$C$5))))+Assumptions!$C$159*(Assumptions!$C$160+MAX(0,B18*Assumptions!$C$163-Assumptions!$C$161)*Assumptions!$C$162)+Assumptions!$C$164*Assumptions!$C$165+B18*(Assumptions!$C$168+Assumptions!$C$169)</f>
        <v/>
      </c>
      <c r="L18" s="37">
        <f>C18*Tiers!$B$28</f>
        <v/>
      </c>
      <c r="M18" s="37">
        <f>G18+I18-J18-K18-L18</f>
        <v/>
      </c>
      <c r="N18" s="19">
        <f>IF(G18+I18&gt;0,M18/(G18+I18),0)</f>
        <v/>
      </c>
      <c r="O18" s="37">
        <f>O17+G18+I18</f>
        <v/>
      </c>
    </row>
    <row r="19">
      <c r="A19" s="15" t="n">
        <v>7</v>
      </c>
      <c r="B19" s="15">
        <f>MAX(Assumptions!$C$17,ROUND(Assumptions!$C$12*Assumptions!$C$13*(A19/24)^Assumptions!$C$16,0))</f>
        <v/>
      </c>
      <c r="C19" s="15">
        <f>MAX(0,B19-B18+ROUND(Assumptions!$C$18*B18,0))</f>
        <v/>
      </c>
      <c r="D19" s="37">
        <f>B19*Assumptions!$C$21</f>
        <v/>
      </c>
      <c r="E19" s="37">
        <f>B19*Tiers!$B$24</f>
        <v/>
      </c>
      <c r="F19" s="37">
        <f>B19*Tiers!$B$25</f>
        <v/>
      </c>
      <c r="G19" s="38">
        <f>D19+E19+F19</f>
        <v/>
      </c>
      <c r="H19" s="37">
        <f>G19*12</f>
        <v/>
      </c>
      <c r="I19" s="37">
        <f>C19*Tiers!$B$27</f>
        <v/>
      </c>
      <c r="J19" s="37">
        <f>B19*Tiers!$B$26</f>
        <v/>
      </c>
      <c r="K19" s="37">
        <f>IF(Assumptions!$C$155=1,(Assumptions!$C$135*Assumptions!$C$140+Hosting!$C$5*Assumptions!$C$140+MAX(0,ROUNDUP(B19/Assumptions!$C$141,0)-1)*Hosting!$C$5),IF(Assumptions!$C$155=2,(MAX(Assumptions!$C$145,ROUNDUP(B19/Assumptions!$C$146,0))*Assumptions!$C$144+B19*Hosting!$C$6),IF(B19&gt;=Assumptions!$C$156,(MAX(Assumptions!$C$145,ROUNDUP(B19/Assumptions!$C$146,0))*Assumptions!$C$144+B19*Hosting!$C$6),(Assumptions!$C$135*Assumptions!$C$140+Hosting!$C$5*Assumptions!$C$140+MAX(0,ROUNDUP(B19/Assumptions!$C$141,0)-1)*Hosting!$C$5))))+Assumptions!$C$159*(Assumptions!$C$160+MAX(0,B19*Assumptions!$C$163-Assumptions!$C$161)*Assumptions!$C$162)+Assumptions!$C$164*Assumptions!$C$165+B19*(Assumptions!$C$168+Assumptions!$C$169)</f>
        <v/>
      </c>
      <c r="L19" s="37">
        <f>C19*Tiers!$B$28</f>
        <v/>
      </c>
      <c r="M19" s="37">
        <f>G19+I19-J19-K19-L19</f>
        <v/>
      </c>
      <c r="N19" s="19">
        <f>IF(G19+I19&gt;0,M19/(G19+I19),0)</f>
        <v/>
      </c>
      <c r="O19" s="37">
        <f>O18+G19+I19</f>
        <v/>
      </c>
    </row>
    <row r="20">
      <c r="A20" s="15" t="n">
        <v>8</v>
      </c>
      <c r="B20" s="15">
        <f>MAX(Assumptions!$C$17,ROUND(Assumptions!$C$12*Assumptions!$C$13*(A20/24)^Assumptions!$C$16,0))</f>
        <v/>
      </c>
      <c r="C20" s="15">
        <f>MAX(0,B20-B19+ROUND(Assumptions!$C$18*B19,0))</f>
        <v/>
      </c>
      <c r="D20" s="37">
        <f>B20*Assumptions!$C$21</f>
        <v/>
      </c>
      <c r="E20" s="37">
        <f>B20*Tiers!$B$24</f>
        <v/>
      </c>
      <c r="F20" s="37">
        <f>B20*Tiers!$B$25</f>
        <v/>
      </c>
      <c r="G20" s="38">
        <f>D20+E20+F20</f>
        <v/>
      </c>
      <c r="H20" s="37">
        <f>G20*12</f>
        <v/>
      </c>
      <c r="I20" s="37">
        <f>C20*Tiers!$B$27</f>
        <v/>
      </c>
      <c r="J20" s="37">
        <f>B20*Tiers!$B$26</f>
        <v/>
      </c>
      <c r="K20" s="37">
        <f>IF(Assumptions!$C$155=1,(Assumptions!$C$135*Assumptions!$C$140+Hosting!$C$5*Assumptions!$C$140+MAX(0,ROUNDUP(B20/Assumptions!$C$141,0)-1)*Hosting!$C$5),IF(Assumptions!$C$155=2,(MAX(Assumptions!$C$145,ROUNDUP(B20/Assumptions!$C$146,0))*Assumptions!$C$144+B20*Hosting!$C$6),IF(B20&gt;=Assumptions!$C$156,(MAX(Assumptions!$C$145,ROUNDUP(B20/Assumptions!$C$146,0))*Assumptions!$C$144+B20*Hosting!$C$6),(Assumptions!$C$135*Assumptions!$C$140+Hosting!$C$5*Assumptions!$C$140+MAX(0,ROUNDUP(B20/Assumptions!$C$141,0)-1)*Hosting!$C$5))))+Assumptions!$C$159*(Assumptions!$C$160+MAX(0,B20*Assumptions!$C$163-Assumptions!$C$161)*Assumptions!$C$162)+Assumptions!$C$164*Assumptions!$C$165+B20*(Assumptions!$C$168+Assumptions!$C$169)</f>
        <v/>
      </c>
      <c r="L20" s="37">
        <f>C20*Tiers!$B$28</f>
        <v/>
      </c>
      <c r="M20" s="37">
        <f>G20+I20-J20-K20-L20</f>
        <v/>
      </c>
      <c r="N20" s="19">
        <f>IF(G20+I20&gt;0,M20/(G20+I20),0)</f>
        <v/>
      </c>
      <c r="O20" s="37">
        <f>O19+G20+I20</f>
        <v/>
      </c>
    </row>
    <row r="21">
      <c r="A21" s="15" t="n">
        <v>9</v>
      </c>
      <c r="B21" s="15">
        <f>MAX(Assumptions!$C$17,ROUND(Assumptions!$C$12*Assumptions!$C$13*(A21/24)^Assumptions!$C$16,0))</f>
        <v/>
      </c>
      <c r="C21" s="15">
        <f>MAX(0,B21-B20+ROUND(Assumptions!$C$18*B20,0))</f>
        <v/>
      </c>
      <c r="D21" s="37">
        <f>B21*Assumptions!$C$21</f>
        <v/>
      </c>
      <c r="E21" s="37">
        <f>B21*Tiers!$B$24</f>
        <v/>
      </c>
      <c r="F21" s="37">
        <f>B21*Tiers!$B$25</f>
        <v/>
      </c>
      <c r="G21" s="38">
        <f>D21+E21+F21</f>
        <v/>
      </c>
      <c r="H21" s="37">
        <f>G21*12</f>
        <v/>
      </c>
      <c r="I21" s="37">
        <f>C21*Tiers!$B$27</f>
        <v/>
      </c>
      <c r="J21" s="37">
        <f>B21*Tiers!$B$26</f>
        <v/>
      </c>
      <c r="K21" s="37">
        <f>IF(Assumptions!$C$155=1,(Assumptions!$C$135*Assumptions!$C$140+Hosting!$C$5*Assumptions!$C$140+MAX(0,ROUNDUP(B21/Assumptions!$C$141,0)-1)*Hosting!$C$5),IF(Assumptions!$C$155=2,(MAX(Assumptions!$C$145,ROUNDUP(B21/Assumptions!$C$146,0))*Assumptions!$C$144+B21*Hosting!$C$6),IF(B21&gt;=Assumptions!$C$156,(MAX(Assumptions!$C$145,ROUNDUP(B21/Assumptions!$C$146,0))*Assumptions!$C$144+B21*Hosting!$C$6),(Assumptions!$C$135*Assumptions!$C$140+Hosting!$C$5*Assumptions!$C$140+MAX(0,ROUNDUP(B21/Assumptions!$C$141,0)-1)*Hosting!$C$5))))+Assumptions!$C$159*(Assumptions!$C$160+MAX(0,B21*Assumptions!$C$163-Assumptions!$C$161)*Assumptions!$C$162)+Assumptions!$C$164*Assumptions!$C$165+B21*(Assumptions!$C$168+Assumptions!$C$169)</f>
        <v/>
      </c>
      <c r="L21" s="37">
        <f>C21*Tiers!$B$28</f>
        <v/>
      </c>
      <c r="M21" s="37">
        <f>G21+I21-J21-K21-L21</f>
        <v/>
      </c>
      <c r="N21" s="19">
        <f>IF(G21+I21&gt;0,M21/(G21+I21),0)</f>
        <v/>
      </c>
      <c r="O21" s="37">
        <f>O20+G21+I21</f>
        <v/>
      </c>
    </row>
    <row r="22">
      <c r="A22" s="15" t="n">
        <v>10</v>
      </c>
      <c r="B22" s="15">
        <f>MAX(Assumptions!$C$17,ROUND(Assumptions!$C$12*Assumptions!$C$13*(A22/24)^Assumptions!$C$16,0))</f>
        <v/>
      </c>
      <c r="C22" s="15">
        <f>MAX(0,B22-B21+ROUND(Assumptions!$C$18*B21,0))</f>
        <v/>
      </c>
      <c r="D22" s="37">
        <f>B22*Assumptions!$C$21</f>
        <v/>
      </c>
      <c r="E22" s="37">
        <f>B22*Tiers!$B$24</f>
        <v/>
      </c>
      <c r="F22" s="37">
        <f>B22*Tiers!$B$25</f>
        <v/>
      </c>
      <c r="G22" s="38">
        <f>D22+E22+F22</f>
        <v/>
      </c>
      <c r="H22" s="37">
        <f>G22*12</f>
        <v/>
      </c>
      <c r="I22" s="37">
        <f>C22*Tiers!$B$27</f>
        <v/>
      </c>
      <c r="J22" s="37">
        <f>B22*Tiers!$B$26</f>
        <v/>
      </c>
      <c r="K22" s="37">
        <f>IF(Assumptions!$C$155=1,(Assumptions!$C$135*Assumptions!$C$140+Hosting!$C$5*Assumptions!$C$140+MAX(0,ROUNDUP(B22/Assumptions!$C$141,0)-1)*Hosting!$C$5),IF(Assumptions!$C$155=2,(MAX(Assumptions!$C$145,ROUNDUP(B22/Assumptions!$C$146,0))*Assumptions!$C$144+B22*Hosting!$C$6),IF(B22&gt;=Assumptions!$C$156,(MAX(Assumptions!$C$145,ROUNDUP(B22/Assumptions!$C$146,0))*Assumptions!$C$144+B22*Hosting!$C$6),(Assumptions!$C$135*Assumptions!$C$140+Hosting!$C$5*Assumptions!$C$140+MAX(0,ROUNDUP(B22/Assumptions!$C$141,0)-1)*Hosting!$C$5))))+Assumptions!$C$159*(Assumptions!$C$160+MAX(0,B22*Assumptions!$C$163-Assumptions!$C$161)*Assumptions!$C$162)+Assumptions!$C$164*Assumptions!$C$165+B22*(Assumptions!$C$168+Assumptions!$C$169)</f>
        <v/>
      </c>
      <c r="L22" s="37">
        <f>C22*Tiers!$B$28</f>
        <v/>
      </c>
      <c r="M22" s="37">
        <f>G22+I22-J22-K22-L22</f>
        <v/>
      </c>
      <c r="N22" s="19">
        <f>IF(G22+I22&gt;0,M22/(G22+I22),0)</f>
        <v/>
      </c>
      <c r="O22" s="37">
        <f>O21+G22+I22</f>
        <v/>
      </c>
    </row>
    <row r="23">
      <c r="A23" s="15" t="n">
        <v>11</v>
      </c>
      <c r="B23" s="15">
        <f>MAX(Assumptions!$C$17,ROUND(Assumptions!$C$12*Assumptions!$C$13*(A23/24)^Assumptions!$C$16,0))</f>
        <v/>
      </c>
      <c r="C23" s="15">
        <f>MAX(0,B23-B22+ROUND(Assumptions!$C$18*B22,0))</f>
        <v/>
      </c>
      <c r="D23" s="37">
        <f>B23*Assumptions!$C$21</f>
        <v/>
      </c>
      <c r="E23" s="37">
        <f>B23*Tiers!$B$24</f>
        <v/>
      </c>
      <c r="F23" s="37">
        <f>B23*Tiers!$B$25</f>
        <v/>
      </c>
      <c r="G23" s="38">
        <f>D23+E23+F23</f>
        <v/>
      </c>
      <c r="H23" s="37">
        <f>G23*12</f>
        <v/>
      </c>
      <c r="I23" s="37">
        <f>C23*Tiers!$B$27</f>
        <v/>
      </c>
      <c r="J23" s="37">
        <f>B23*Tiers!$B$26</f>
        <v/>
      </c>
      <c r="K23" s="37">
        <f>IF(Assumptions!$C$155=1,(Assumptions!$C$135*Assumptions!$C$140+Hosting!$C$5*Assumptions!$C$140+MAX(0,ROUNDUP(B23/Assumptions!$C$141,0)-1)*Hosting!$C$5),IF(Assumptions!$C$155=2,(MAX(Assumptions!$C$145,ROUNDUP(B23/Assumptions!$C$146,0))*Assumptions!$C$144+B23*Hosting!$C$6),IF(B23&gt;=Assumptions!$C$156,(MAX(Assumptions!$C$145,ROUNDUP(B23/Assumptions!$C$146,0))*Assumptions!$C$144+B23*Hosting!$C$6),(Assumptions!$C$135*Assumptions!$C$140+Hosting!$C$5*Assumptions!$C$140+MAX(0,ROUNDUP(B23/Assumptions!$C$141,0)-1)*Hosting!$C$5))))+Assumptions!$C$159*(Assumptions!$C$160+MAX(0,B23*Assumptions!$C$163-Assumptions!$C$161)*Assumptions!$C$162)+Assumptions!$C$164*Assumptions!$C$165+B23*(Assumptions!$C$168+Assumptions!$C$169)</f>
        <v/>
      </c>
      <c r="L23" s="37">
        <f>C23*Tiers!$B$28</f>
        <v/>
      </c>
      <c r="M23" s="37">
        <f>G23+I23-J23-K23-L23</f>
        <v/>
      </c>
      <c r="N23" s="19">
        <f>IF(G23+I23&gt;0,M23/(G23+I23),0)</f>
        <v/>
      </c>
      <c r="O23" s="37">
        <f>O22+G23+I23</f>
        <v/>
      </c>
    </row>
    <row r="24">
      <c r="A24" s="15" t="n">
        <v>12</v>
      </c>
      <c r="B24" s="15">
        <f>MAX(Assumptions!$C$17,ROUND(Assumptions!$C$12*Assumptions!$C$13*(A24/24)^Assumptions!$C$16,0))</f>
        <v/>
      </c>
      <c r="C24" s="15">
        <f>MAX(0,B24-B23+ROUND(Assumptions!$C$18*B23,0))</f>
        <v/>
      </c>
      <c r="D24" s="37">
        <f>B24*Assumptions!$C$21</f>
        <v/>
      </c>
      <c r="E24" s="37">
        <f>B24*Tiers!$B$24</f>
        <v/>
      </c>
      <c r="F24" s="37">
        <f>B24*Tiers!$B$25</f>
        <v/>
      </c>
      <c r="G24" s="38">
        <f>D24+E24+F24</f>
        <v/>
      </c>
      <c r="H24" s="37">
        <f>G24*12</f>
        <v/>
      </c>
      <c r="I24" s="37">
        <f>C24*Tiers!$B$27</f>
        <v/>
      </c>
      <c r="J24" s="37">
        <f>B24*Tiers!$B$26</f>
        <v/>
      </c>
      <c r="K24" s="37">
        <f>IF(Assumptions!$C$155=1,(Assumptions!$C$135*Assumptions!$C$140+Hosting!$C$5*Assumptions!$C$140+MAX(0,ROUNDUP(B24/Assumptions!$C$141,0)-1)*Hosting!$C$5),IF(Assumptions!$C$155=2,(MAX(Assumptions!$C$145,ROUNDUP(B24/Assumptions!$C$146,0))*Assumptions!$C$144+B24*Hosting!$C$6),IF(B24&gt;=Assumptions!$C$156,(MAX(Assumptions!$C$145,ROUNDUP(B24/Assumptions!$C$146,0))*Assumptions!$C$144+B24*Hosting!$C$6),(Assumptions!$C$135*Assumptions!$C$140+Hosting!$C$5*Assumptions!$C$140+MAX(0,ROUNDUP(B24/Assumptions!$C$141,0)-1)*Hosting!$C$5))))+Assumptions!$C$159*(Assumptions!$C$160+MAX(0,B24*Assumptions!$C$163-Assumptions!$C$161)*Assumptions!$C$162)+Assumptions!$C$164*Assumptions!$C$165+B24*(Assumptions!$C$168+Assumptions!$C$169)</f>
        <v/>
      </c>
      <c r="L24" s="37">
        <f>C24*Tiers!$B$28</f>
        <v/>
      </c>
      <c r="M24" s="37">
        <f>G24+I24-J24-K24-L24</f>
        <v/>
      </c>
      <c r="N24" s="19">
        <f>IF(G24+I24&gt;0,M24/(G24+I24),0)</f>
        <v/>
      </c>
      <c r="O24" s="37">
        <f>O23+G24+I24</f>
        <v/>
      </c>
    </row>
    <row r="25">
      <c r="A25" s="15" t="n">
        <v>13</v>
      </c>
      <c r="B25" s="15">
        <f>MAX(Assumptions!$C$17,ROUND(Assumptions!$C$12*Assumptions!$C$13*(A25/24)^Assumptions!$C$16,0))</f>
        <v/>
      </c>
      <c r="C25" s="15">
        <f>MAX(0,B25-B24+ROUND(Assumptions!$C$18*B24,0))</f>
        <v/>
      </c>
      <c r="D25" s="37">
        <f>B25*Assumptions!$C$21</f>
        <v/>
      </c>
      <c r="E25" s="37">
        <f>B25*Tiers!$B$24</f>
        <v/>
      </c>
      <c r="F25" s="37">
        <f>B25*Tiers!$B$25</f>
        <v/>
      </c>
      <c r="G25" s="38">
        <f>D25+E25+F25</f>
        <v/>
      </c>
      <c r="H25" s="37">
        <f>G25*12</f>
        <v/>
      </c>
      <c r="I25" s="37">
        <f>C25*Tiers!$B$27</f>
        <v/>
      </c>
      <c r="J25" s="37">
        <f>B25*Tiers!$B$26</f>
        <v/>
      </c>
      <c r="K25" s="37">
        <f>IF(Assumptions!$C$155=1,(Assumptions!$C$135*Assumptions!$C$140+Hosting!$C$5*Assumptions!$C$140+MAX(0,ROUNDUP(B25/Assumptions!$C$141,0)-1)*Hosting!$C$5),IF(Assumptions!$C$155=2,(MAX(Assumptions!$C$145,ROUNDUP(B25/Assumptions!$C$146,0))*Assumptions!$C$144+B25*Hosting!$C$6),IF(B25&gt;=Assumptions!$C$156,(MAX(Assumptions!$C$145,ROUNDUP(B25/Assumptions!$C$146,0))*Assumptions!$C$144+B25*Hosting!$C$6),(Assumptions!$C$135*Assumptions!$C$140+Hosting!$C$5*Assumptions!$C$140+MAX(0,ROUNDUP(B25/Assumptions!$C$141,0)-1)*Hosting!$C$5))))+Assumptions!$C$159*(Assumptions!$C$160+MAX(0,B25*Assumptions!$C$163-Assumptions!$C$161)*Assumptions!$C$162)+Assumptions!$C$164*Assumptions!$C$165+B25*(Assumptions!$C$168+Assumptions!$C$169)</f>
        <v/>
      </c>
      <c r="L25" s="37">
        <f>C25*Tiers!$B$28</f>
        <v/>
      </c>
      <c r="M25" s="37">
        <f>G25+I25-J25-K25-L25</f>
        <v/>
      </c>
      <c r="N25" s="19">
        <f>IF(G25+I25&gt;0,M25/(G25+I25),0)</f>
        <v/>
      </c>
      <c r="O25" s="37">
        <f>O24+G25+I25</f>
        <v/>
      </c>
    </row>
    <row r="26">
      <c r="A26" s="15" t="n">
        <v>14</v>
      </c>
      <c r="B26" s="15">
        <f>MAX(Assumptions!$C$17,ROUND(Assumptions!$C$12*Assumptions!$C$13*(A26/24)^Assumptions!$C$16,0))</f>
        <v/>
      </c>
      <c r="C26" s="15">
        <f>MAX(0,B26-B25+ROUND(Assumptions!$C$18*B25,0))</f>
        <v/>
      </c>
      <c r="D26" s="37">
        <f>B26*Assumptions!$C$21</f>
        <v/>
      </c>
      <c r="E26" s="37">
        <f>B26*Tiers!$B$24</f>
        <v/>
      </c>
      <c r="F26" s="37">
        <f>B26*Tiers!$B$25</f>
        <v/>
      </c>
      <c r="G26" s="38">
        <f>D26+E26+F26</f>
        <v/>
      </c>
      <c r="H26" s="37">
        <f>G26*12</f>
        <v/>
      </c>
      <c r="I26" s="37">
        <f>C26*Tiers!$B$27</f>
        <v/>
      </c>
      <c r="J26" s="37">
        <f>B26*Tiers!$B$26</f>
        <v/>
      </c>
      <c r="K26" s="37">
        <f>IF(Assumptions!$C$155=1,(Assumptions!$C$135*Assumptions!$C$140+Hosting!$C$5*Assumptions!$C$140+MAX(0,ROUNDUP(B26/Assumptions!$C$141,0)-1)*Hosting!$C$5),IF(Assumptions!$C$155=2,(MAX(Assumptions!$C$145,ROUNDUP(B26/Assumptions!$C$146,0))*Assumptions!$C$144+B26*Hosting!$C$6),IF(B26&gt;=Assumptions!$C$156,(MAX(Assumptions!$C$145,ROUNDUP(B26/Assumptions!$C$146,0))*Assumptions!$C$144+B26*Hosting!$C$6),(Assumptions!$C$135*Assumptions!$C$140+Hosting!$C$5*Assumptions!$C$140+MAX(0,ROUNDUP(B26/Assumptions!$C$141,0)-1)*Hosting!$C$5))))+Assumptions!$C$159*(Assumptions!$C$160+MAX(0,B26*Assumptions!$C$163-Assumptions!$C$161)*Assumptions!$C$162)+Assumptions!$C$164*Assumptions!$C$165+B26*(Assumptions!$C$168+Assumptions!$C$169)</f>
        <v/>
      </c>
      <c r="L26" s="37">
        <f>C26*Tiers!$B$28</f>
        <v/>
      </c>
      <c r="M26" s="37">
        <f>G26+I26-J26-K26-L26</f>
        <v/>
      </c>
      <c r="N26" s="19">
        <f>IF(G26+I26&gt;0,M26/(G26+I26),0)</f>
        <v/>
      </c>
      <c r="O26" s="37">
        <f>O25+G26+I26</f>
        <v/>
      </c>
    </row>
    <row r="27">
      <c r="A27" s="15" t="n">
        <v>15</v>
      </c>
      <c r="B27" s="15">
        <f>MAX(Assumptions!$C$17,ROUND(Assumptions!$C$12*Assumptions!$C$13*(A27/24)^Assumptions!$C$16,0))</f>
        <v/>
      </c>
      <c r="C27" s="15">
        <f>MAX(0,B27-B26+ROUND(Assumptions!$C$18*B26,0))</f>
        <v/>
      </c>
      <c r="D27" s="37">
        <f>B27*Assumptions!$C$21</f>
        <v/>
      </c>
      <c r="E27" s="37">
        <f>B27*Tiers!$B$24</f>
        <v/>
      </c>
      <c r="F27" s="37">
        <f>B27*Tiers!$B$25</f>
        <v/>
      </c>
      <c r="G27" s="38">
        <f>D27+E27+F27</f>
        <v/>
      </c>
      <c r="H27" s="37">
        <f>G27*12</f>
        <v/>
      </c>
      <c r="I27" s="37">
        <f>C27*Tiers!$B$27</f>
        <v/>
      </c>
      <c r="J27" s="37">
        <f>B27*Tiers!$B$26</f>
        <v/>
      </c>
      <c r="K27" s="37">
        <f>IF(Assumptions!$C$155=1,(Assumptions!$C$135*Assumptions!$C$140+Hosting!$C$5*Assumptions!$C$140+MAX(0,ROUNDUP(B27/Assumptions!$C$141,0)-1)*Hosting!$C$5),IF(Assumptions!$C$155=2,(MAX(Assumptions!$C$145,ROUNDUP(B27/Assumptions!$C$146,0))*Assumptions!$C$144+B27*Hosting!$C$6),IF(B27&gt;=Assumptions!$C$156,(MAX(Assumptions!$C$145,ROUNDUP(B27/Assumptions!$C$146,0))*Assumptions!$C$144+B27*Hosting!$C$6),(Assumptions!$C$135*Assumptions!$C$140+Hosting!$C$5*Assumptions!$C$140+MAX(0,ROUNDUP(B27/Assumptions!$C$141,0)-1)*Hosting!$C$5))))+Assumptions!$C$159*(Assumptions!$C$160+MAX(0,B27*Assumptions!$C$163-Assumptions!$C$161)*Assumptions!$C$162)+Assumptions!$C$164*Assumptions!$C$165+B27*(Assumptions!$C$168+Assumptions!$C$169)</f>
        <v/>
      </c>
      <c r="L27" s="37">
        <f>C27*Tiers!$B$28</f>
        <v/>
      </c>
      <c r="M27" s="37">
        <f>G27+I27-J27-K27-L27</f>
        <v/>
      </c>
      <c r="N27" s="19">
        <f>IF(G27+I27&gt;0,M27/(G27+I27),0)</f>
        <v/>
      </c>
      <c r="O27" s="37">
        <f>O26+G27+I27</f>
        <v/>
      </c>
    </row>
    <row r="28">
      <c r="A28" s="15" t="n">
        <v>16</v>
      </c>
      <c r="B28" s="15">
        <f>MAX(Assumptions!$C$17,ROUND(Assumptions!$C$12*Assumptions!$C$13*(A28/24)^Assumptions!$C$16,0))</f>
        <v/>
      </c>
      <c r="C28" s="15">
        <f>MAX(0,B28-B27+ROUND(Assumptions!$C$18*B27,0))</f>
        <v/>
      </c>
      <c r="D28" s="37">
        <f>B28*Assumptions!$C$21</f>
        <v/>
      </c>
      <c r="E28" s="37">
        <f>B28*Tiers!$B$24</f>
        <v/>
      </c>
      <c r="F28" s="37">
        <f>B28*Tiers!$B$25</f>
        <v/>
      </c>
      <c r="G28" s="38">
        <f>D28+E28+F28</f>
        <v/>
      </c>
      <c r="H28" s="37">
        <f>G28*12</f>
        <v/>
      </c>
      <c r="I28" s="37">
        <f>C28*Tiers!$B$27</f>
        <v/>
      </c>
      <c r="J28" s="37">
        <f>B28*Tiers!$B$26</f>
        <v/>
      </c>
      <c r="K28" s="37">
        <f>IF(Assumptions!$C$155=1,(Assumptions!$C$135*Assumptions!$C$140+Hosting!$C$5*Assumptions!$C$140+MAX(0,ROUNDUP(B28/Assumptions!$C$141,0)-1)*Hosting!$C$5),IF(Assumptions!$C$155=2,(MAX(Assumptions!$C$145,ROUNDUP(B28/Assumptions!$C$146,0))*Assumptions!$C$144+B28*Hosting!$C$6),IF(B28&gt;=Assumptions!$C$156,(MAX(Assumptions!$C$145,ROUNDUP(B28/Assumptions!$C$146,0))*Assumptions!$C$144+B28*Hosting!$C$6),(Assumptions!$C$135*Assumptions!$C$140+Hosting!$C$5*Assumptions!$C$140+MAX(0,ROUNDUP(B28/Assumptions!$C$141,0)-1)*Hosting!$C$5))))+Assumptions!$C$159*(Assumptions!$C$160+MAX(0,B28*Assumptions!$C$163-Assumptions!$C$161)*Assumptions!$C$162)+Assumptions!$C$164*Assumptions!$C$165+B28*(Assumptions!$C$168+Assumptions!$C$169)</f>
        <v/>
      </c>
      <c r="L28" s="37">
        <f>C28*Tiers!$B$28</f>
        <v/>
      </c>
      <c r="M28" s="37">
        <f>G28+I28-J28-K28-L28</f>
        <v/>
      </c>
      <c r="N28" s="19">
        <f>IF(G28+I28&gt;0,M28/(G28+I28),0)</f>
        <v/>
      </c>
      <c r="O28" s="37">
        <f>O27+G28+I28</f>
        <v/>
      </c>
    </row>
    <row r="29">
      <c r="A29" s="15" t="n">
        <v>17</v>
      </c>
      <c r="B29" s="15">
        <f>MAX(Assumptions!$C$17,ROUND(Assumptions!$C$12*Assumptions!$C$13*(A29/24)^Assumptions!$C$16,0))</f>
        <v/>
      </c>
      <c r="C29" s="15">
        <f>MAX(0,B29-B28+ROUND(Assumptions!$C$18*B28,0))</f>
        <v/>
      </c>
      <c r="D29" s="37">
        <f>B29*Assumptions!$C$21</f>
        <v/>
      </c>
      <c r="E29" s="37">
        <f>B29*Tiers!$B$24</f>
        <v/>
      </c>
      <c r="F29" s="37">
        <f>B29*Tiers!$B$25</f>
        <v/>
      </c>
      <c r="G29" s="38">
        <f>D29+E29+F29</f>
        <v/>
      </c>
      <c r="H29" s="37">
        <f>G29*12</f>
        <v/>
      </c>
      <c r="I29" s="37">
        <f>C29*Tiers!$B$27</f>
        <v/>
      </c>
      <c r="J29" s="37">
        <f>B29*Tiers!$B$26</f>
        <v/>
      </c>
      <c r="K29" s="37">
        <f>IF(Assumptions!$C$155=1,(Assumptions!$C$135*Assumptions!$C$140+Hosting!$C$5*Assumptions!$C$140+MAX(0,ROUNDUP(B29/Assumptions!$C$141,0)-1)*Hosting!$C$5),IF(Assumptions!$C$155=2,(MAX(Assumptions!$C$145,ROUNDUP(B29/Assumptions!$C$146,0))*Assumptions!$C$144+B29*Hosting!$C$6),IF(B29&gt;=Assumptions!$C$156,(MAX(Assumptions!$C$145,ROUNDUP(B29/Assumptions!$C$146,0))*Assumptions!$C$144+B29*Hosting!$C$6),(Assumptions!$C$135*Assumptions!$C$140+Hosting!$C$5*Assumptions!$C$140+MAX(0,ROUNDUP(B29/Assumptions!$C$141,0)-1)*Hosting!$C$5))))+Assumptions!$C$159*(Assumptions!$C$160+MAX(0,B29*Assumptions!$C$163-Assumptions!$C$161)*Assumptions!$C$162)+Assumptions!$C$164*Assumptions!$C$165+B29*(Assumptions!$C$168+Assumptions!$C$169)</f>
        <v/>
      </c>
      <c r="L29" s="37">
        <f>C29*Tiers!$B$28</f>
        <v/>
      </c>
      <c r="M29" s="37">
        <f>G29+I29-J29-K29-L29</f>
        <v/>
      </c>
      <c r="N29" s="19">
        <f>IF(G29+I29&gt;0,M29/(G29+I29),0)</f>
        <v/>
      </c>
      <c r="O29" s="37">
        <f>O28+G29+I29</f>
        <v/>
      </c>
    </row>
    <row r="30">
      <c r="A30" s="15" t="n">
        <v>18</v>
      </c>
      <c r="B30" s="15">
        <f>MAX(Assumptions!$C$17,ROUND(Assumptions!$C$12*Assumptions!$C$13*(A30/24)^Assumptions!$C$16,0))</f>
        <v/>
      </c>
      <c r="C30" s="15">
        <f>MAX(0,B30-B29+ROUND(Assumptions!$C$18*B29,0))</f>
        <v/>
      </c>
      <c r="D30" s="37">
        <f>B30*Assumptions!$C$21</f>
        <v/>
      </c>
      <c r="E30" s="37">
        <f>B30*Tiers!$B$24</f>
        <v/>
      </c>
      <c r="F30" s="37">
        <f>B30*Tiers!$B$25</f>
        <v/>
      </c>
      <c r="G30" s="38">
        <f>D30+E30+F30</f>
        <v/>
      </c>
      <c r="H30" s="37">
        <f>G30*12</f>
        <v/>
      </c>
      <c r="I30" s="37">
        <f>C30*Tiers!$B$27</f>
        <v/>
      </c>
      <c r="J30" s="37">
        <f>B30*Tiers!$B$26</f>
        <v/>
      </c>
      <c r="K30" s="37">
        <f>IF(Assumptions!$C$155=1,(Assumptions!$C$135*Assumptions!$C$140+Hosting!$C$5*Assumptions!$C$140+MAX(0,ROUNDUP(B30/Assumptions!$C$141,0)-1)*Hosting!$C$5),IF(Assumptions!$C$155=2,(MAX(Assumptions!$C$145,ROUNDUP(B30/Assumptions!$C$146,0))*Assumptions!$C$144+B30*Hosting!$C$6),IF(B30&gt;=Assumptions!$C$156,(MAX(Assumptions!$C$145,ROUNDUP(B30/Assumptions!$C$146,0))*Assumptions!$C$144+B30*Hosting!$C$6),(Assumptions!$C$135*Assumptions!$C$140+Hosting!$C$5*Assumptions!$C$140+MAX(0,ROUNDUP(B30/Assumptions!$C$141,0)-1)*Hosting!$C$5))))+Assumptions!$C$159*(Assumptions!$C$160+MAX(0,B30*Assumptions!$C$163-Assumptions!$C$161)*Assumptions!$C$162)+Assumptions!$C$164*Assumptions!$C$165+B30*(Assumptions!$C$168+Assumptions!$C$169)</f>
        <v/>
      </c>
      <c r="L30" s="37">
        <f>C30*Tiers!$B$28</f>
        <v/>
      </c>
      <c r="M30" s="37">
        <f>G30+I30-J30-K30-L30</f>
        <v/>
      </c>
      <c r="N30" s="19">
        <f>IF(G30+I30&gt;0,M30/(G30+I30),0)</f>
        <v/>
      </c>
      <c r="O30" s="37">
        <f>O29+G30+I30</f>
        <v/>
      </c>
    </row>
    <row r="31">
      <c r="A31" s="15" t="n">
        <v>19</v>
      </c>
      <c r="B31" s="15">
        <f>MAX(Assumptions!$C$17,ROUND(Assumptions!$C$12*Assumptions!$C$13*(A31/24)^Assumptions!$C$16,0))</f>
        <v/>
      </c>
      <c r="C31" s="15">
        <f>MAX(0,B31-B30+ROUND(Assumptions!$C$18*B30,0))</f>
        <v/>
      </c>
      <c r="D31" s="37">
        <f>B31*Assumptions!$C$21</f>
        <v/>
      </c>
      <c r="E31" s="37">
        <f>B31*Tiers!$B$24</f>
        <v/>
      </c>
      <c r="F31" s="37">
        <f>B31*Tiers!$B$25</f>
        <v/>
      </c>
      <c r="G31" s="38">
        <f>D31+E31+F31</f>
        <v/>
      </c>
      <c r="H31" s="37">
        <f>G31*12</f>
        <v/>
      </c>
      <c r="I31" s="37">
        <f>C31*Tiers!$B$27</f>
        <v/>
      </c>
      <c r="J31" s="37">
        <f>B31*Tiers!$B$26</f>
        <v/>
      </c>
      <c r="K31" s="37">
        <f>IF(Assumptions!$C$155=1,(Assumptions!$C$135*Assumptions!$C$140+Hosting!$C$5*Assumptions!$C$140+MAX(0,ROUNDUP(B31/Assumptions!$C$141,0)-1)*Hosting!$C$5),IF(Assumptions!$C$155=2,(MAX(Assumptions!$C$145,ROUNDUP(B31/Assumptions!$C$146,0))*Assumptions!$C$144+B31*Hosting!$C$6),IF(B31&gt;=Assumptions!$C$156,(MAX(Assumptions!$C$145,ROUNDUP(B31/Assumptions!$C$146,0))*Assumptions!$C$144+B31*Hosting!$C$6),(Assumptions!$C$135*Assumptions!$C$140+Hosting!$C$5*Assumptions!$C$140+MAX(0,ROUNDUP(B31/Assumptions!$C$141,0)-1)*Hosting!$C$5))))+Assumptions!$C$159*(Assumptions!$C$160+MAX(0,B31*Assumptions!$C$163-Assumptions!$C$161)*Assumptions!$C$162)+Assumptions!$C$164*Assumptions!$C$165+B31*(Assumptions!$C$168+Assumptions!$C$169)</f>
        <v/>
      </c>
      <c r="L31" s="37">
        <f>C31*Tiers!$B$28</f>
        <v/>
      </c>
      <c r="M31" s="37">
        <f>G31+I31-J31-K31-L31</f>
        <v/>
      </c>
      <c r="N31" s="19">
        <f>IF(G31+I31&gt;0,M31/(G31+I31),0)</f>
        <v/>
      </c>
      <c r="O31" s="37">
        <f>O30+G31+I31</f>
        <v/>
      </c>
    </row>
    <row r="32">
      <c r="A32" s="15" t="n">
        <v>20</v>
      </c>
      <c r="B32" s="15">
        <f>MAX(Assumptions!$C$17,ROUND(Assumptions!$C$12*Assumptions!$C$13*(A32/24)^Assumptions!$C$16,0))</f>
        <v/>
      </c>
      <c r="C32" s="15">
        <f>MAX(0,B32-B31+ROUND(Assumptions!$C$18*B31,0))</f>
        <v/>
      </c>
      <c r="D32" s="37">
        <f>B32*Assumptions!$C$21</f>
        <v/>
      </c>
      <c r="E32" s="37">
        <f>B32*Tiers!$B$24</f>
        <v/>
      </c>
      <c r="F32" s="37">
        <f>B32*Tiers!$B$25</f>
        <v/>
      </c>
      <c r="G32" s="38">
        <f>D32+E32+F32</f>
        <v/>
      </c>
      <c r="H32" s="37">
        <f>G32*12</f>
        <v/>
      </c>
      <c r="I32" s="37">
        <f>C32*Tiers!$B$27</f>
        <v/>
      </c>
      <c r="J32" s="37">
        <f>B32*Tiers!$B$26</f>
        <v/>
      </c>
      <c r="K32" s="37">
        <f>IF(Assumptions!$C$155=1,(Assumptions!$C$135*Assumptions!$C$140+Hosting!$C$5*Assumptions!$C$140+MAX(0,ROUNDUP(B32/Assumptions!$C$141,0)-1)*Hosting!$C$5),IF(Assumptions!$C$155=2,(MAX(Assumptions!$C$145,ROUNDUP(B32/Assumptions!$C$146,0))*Assumptions!$C$144+B32*Hosting!$C$6),IF(B32&gt;=Assumptions!$C$156,(MAX(Assumptions!$C$145,ROUNDUP(B32/Assumptions!$C$146,0))*Assumptions!$C$144+B32*Hosting!$C$6),(Assumptions!$C$135*Assumptions!$C$140+Hosting!$C$5*Assumptions!$C$140+MAX(0,ROUNDUP(B32/Assumptions!$C$141,0)-1)*Hosting!$C$5))))+Assumptions!$C$159*(Assumptions!$C$160+MAX(0,B32*Assumptions!$C$163-Assumptions!$C$161)*Assumptions!$C$162)+Assumptions!$C$164*Assumptions!$C$165+B32*(Assumptions!$C$168+Assumptions!$C$169)</f>
        <v/>
      </c>
      <c r="L32" s="37">
        <f>C32*Tiers!$B$28</f>
        <v/>
      </c>
      <c r="M32" s="37">
        <f>G32+I32-J32-K32-L32</f>
        <v/>
      </c>
      <c r="N32" s="19">
        <f>IF(G32+I32&gt;0,M32/(G32+I32),0)</f>
        <v/>
      </c>
      <c r="O32" s="37">
        <f>O31+G32+I32</f>
        <v/>
      </c>
    </row>
    <row r="33">
      <c r="A33" s="15" t="n">
        <v>21</v>
      </c>
      <c r="B33" s="15">
        <f>MAX(Assumptions!$C$17,ROUND(Assumptions!$C$12*Assumptions!$C$13*(A33/24)^Assumptions!$C$16,0))</f>
        <v/>
      </c>
      <c r="C33" s="15">
        <f>MAX(0,B33-B32+ROUND(Assumptions!$C$18*B32,0))</f>
        <v/>
      </c>
      <c r="D33" s="37">
        <f>B33*Assumptions!$C$21</f>
        <v/>
      </c>
      <c r="E33" s="37">
        <f>B33*Tiers!$B$24</f>
        <v/>
      </c>
      <c r="F33" s="37">
        <f>B33*Tiers!$B$25</f>
        <v/>
      </c>
      <c r="G33" s="38">
        <f>D33+E33+F33</f>
        <v/>
      </c>
      <c r="H33" s="37">
        <f>G33*12</f>
        <v/>
      </c>
      <c r="I33" s="37">
        <f>C33*Tiers!$B$27</f>
        <v/>
      </c>
      <c r="J33" s="37">
        <f>B33*Tiers!$B$26</f>
        <v/>
      </c>
      <c r="K33" s="37">
        <f>IF(Assumptions!$C$155=1,(Assumptions!$C$135*Assumptions!$C$140+Hosting!$C$5*Assumptions!$C$140+MAX(0,ROUNDUP(B33/Assumptions!$C$141,0)-1)*Hosting!$C$5),IF(Assumptions!$C$155=2,(MAX(Assumptions!$C$145,ROUNDUP(B33/Assumptions!$C$146,0))*Assumptions!$C$144+B33*Hosting!$C$6),IF(B33&gt;=Assumptions!$C$156,(MAX(Assumptions!$C$145,ROUNDUP(B33/Assumptions!$C$146,0))*Assumptions!$C$144+B33*Hosting!$C$6),(Assumptions!$C$135*Assumptions!$C$140+Hosting!$C$5*Assumptions!$C$140+MAX(0,ROUNDUP(B33/Assumptions!$C$141,0)-1)*Hosting!$C$5))))+Assumptions!$C$159*(Assumptions!$C$160+MAX(0,B33*Assumptions!$C$163-Assumptions!$C$161)*Assumptions!$C$162)+Assumptions!$C$164*Assumptions!$C$165+B33*(Assumptions!$C$168+Assumptions!$C$169)</f>
        <v/>
      </c>
      <c r="L33" s="37">
        <f>C33*Tiers!$B$28</f>
        <v/>
      </c>
      <c r="M33" s="37">
        <f>G33+I33-J33-K33-L33</f>
        <v/>
      </c>
      <c r="N33" s="19">
        <f>IF(G33+I33&gt;0,M33/(G33+I33),0)</f>
        <v/>
      </c>
      <c r="O33" s="37">
        <f>O32+G33+I33</f>
        <v/>
      </c>
    </row>
    <row r="34">
      <c r="A34" s="15" t="n">
        <v>22</v>
      </c>
      <c r="B34" s="15">
        <f>MAX(Assumptions!$C$17,ROUND(Assumptions!$C$12*Assumptions!$C$13*(A34/24)^Assumptions!$C$16,0))</f>
        <v/>
      </c>
      <c r="C34" s="15">
        <f>MAX(0,B34-B33+ROUND(Assumptions!$C$18*B33,0))</f>
        <v/>
      </c>
      <c r="D34" s="37">
        <f>B34*Assumptions!$C$21</f>
        <v/>
      </c>
      <c r="E34" s="37">
        <f>B34*Tiers!$B$24</f>
        <v/>
      </c>
      <c r="F34" s="37">
        <f>B34*Tiers!$B$25</f>
        <v/>
      </c>
      <c r="G34" s="38">
        <f>D34+E34+F34</f>
        <v/>
      </c>
      <c r="H34" s="37">
        <f>G34*12</f>
        <v/>
      </c>
      <c r="I34" s="37">
        <f>C34*Tiers!$B$27</f>
        <v/>
      </c>
      <c r="J34" s="37">
        <f>B34*Tiers!$B$26</f>
        <v/>
      </c>
      <c r="K34" s="37">
        <f>IF(Assumptions!$C$155=1,(Assumptions!$C$135*Assumptions!$C$140+Hosting!$C$5*Assumptions!$C$140+MAX(0,ROUNDUP(B34/Assumptions!$C$141,0)-1)*Hosting!$C$5),IF(Assumptions!$C$155=2,(MAX(Assumptions!$C$145,ROUNDUP(B34/Assumptions!$C$146,0))*Assumptions!$C$144+B34*Hosting!$C$6),IF(B34&gt;=Assumptions!$C$156,(MAX(Assumptions!$C$145,ROUNDUP(B34/Assumptions!$C$146,0))*Assumptions!$C$144+B34*Hosting!$C$6),(Assumptions!$C$135*Assumptions!$C$140+Hosting!$C$5*Assumptions!$C$140+MAX(0,ROUNDUP(B34/Assumptions!$C$141,0)-1)*Hosting!$C$5))))+Assumptions!$C$159*(Assumptions!$C$160+MAX(0,B34*Assumptions!$C$163-Assumptions!$C$161)*Assumptions!$C$162)+Assumptions!$C$164*Assumptions!$C$165+B34*(Assumptions!$C$168+Assumptions!$C$169)</f>
        <v/>
      </c>
      <c r="L34" s="37">
        <f>C34*Tiers!$B$28</f>
        <v/>
      </c>
      <c r="M34" s="37">
        <f>G34+I34-J34-K34-L34</f>
        <v/>
      </c>
      <c r="N34" s="19">
        <f>IF(G34+I34&gt;0,M34/(G34+I34),0)</f>
        <v/>
      </c>
      <c r="O34" s="37">
        <f>O33+G34+I34</f>
        <v/>
      </c>
    </row>
    <row r="35">
      <c r="A35" s="15" t="n">
        <v>23</v>
      </c>
      <c r="B35" s="15">
        <f>MAX(Assumptions!$C$17,ROUND(Assumptions!$C$12*Assumptions!$C$13*(A35/24)^Assumptions!$C$16,0))</f>
        <v/>
      </c>
      <c r="C35" s="15">
        <f>MAX(0,B35-B34+ROUND(Assumptions!$C$18*B34,0))</f>
        <v/>
      </c>
      <c r="D35" s="37">
        <f>B35*Assumptions!$C$21</f>
        <v/>
      </c>
      <c r="E35" s="37">
        <f>B35*Tiers!$B$24</f>
        <v/>
      </c>
      <c r="F35" s="37">
        <f>B35*Tiers!$B$25</f>
        <v/>
      </c>
      <c r="G35" s="38">
        <f>D35+E35+F35</f>
        <v/>
      </c>
      <c r="H35" s="37">
        <f>G35*12</f>
        <v/>
      </c>
      <c r="I35" s="37">
        <f>C35*Tiers!$B$27</f>
        <v/>
      </c>
      <c r="J35" s="37">
        <f>B35*Tiers!$B$26</f>
        <v/>
      </c>
      <c r="K35" s="37">
        <f>IF(Assumptions!$C$155=1,(Assumptions!$C$135*Assumptions!$C$140+Hosting!$C$5*Assumptions!$C$140+MAX(0,ROUNDUP(B35/Assumptions!$C$141,0)-1)*Hosting!$C$5),IF(Assumptions!$C$155=2,(MAX(Assumptions!$C$145,ROUNDUP(B35/Assumptions!$C$146,0))*Assumptions!$C$144+B35*Hosting!$C$6),IF(B35&gt;=Assumptions!$C$156,(MAX(Assumptions!$C$145,ROUNDUP(B35/Assumptions!$C$146,0))*Assumptions!$C$144+B35*Hosting!$C$6),(Assumptions!$C$135*Assumptions!$C$140+Hosting!$C$5*Assumptions!$C$140+MAX(0,ROUNDUP(B35/Assumptions!$C$141,0)-1)*Hosting!$C$5))))+Assumptions!$C$159*(Assumptions!$C$160+MAX(0,B35*Assumptions!$C$163-Assumptions!$C$161)*Assumptions!$C$162)+Assumptions!$C$164*Assumptions!$C$165+B35*(Assumptions!$C$168+Assumptions!$C$169)</f>
        <v/>
      </c>
      <c r="L35" s="37">
        <f>C35*Tiers!$B$28</f>
        <v/>
      </c>
      <c r="M35" s="37">
        <f>G35+I35-J35-K35-L35</f>
        <v/>
      </c>
      <c r="N35" s="19">
        <f>IF(G35+I35&gt;0,M35/(G35+I35),0)</f>
        <v/>
      </c>
      <c r="O35" s="37">
        <f>O34+G35+I35</f>
        <v/>
      </c>
    </row>
    <row r="36">
      <c r="A36" s="15" t="n">
        <v>24</v>
      </c>
      <c r="B36" s="15">
        <f>MAX(Assumptions!$C$17,ROUND(Assumptions!$C$12*Assumptions!$C$13*(A36/24)^Assumptions!$C$16,0))</f>
        <v/>
      </c>
      <c r="C36" s="15">
        <f>MAX(0,B36-B35+ROUND(Assumptions!$C$18*B35,0))</f>
        <v/>
      </c>
      <c r="D36" s="37">
        <f>B36*Assumptions!$C$21</f>
        <v/>
      </c>
      <c r="E36" s="37">
        <f>B36*Tiers!$B$24</f>
        <v/>
      </c>
      <c r="F36" s="37">
        <f>B36*Tiers!$B$25</f>
        <v/>
      </c>
      <c r="G36" s="38">
        <f>D36+E36+F36</f>
        <v/>
      </c>
      <c r="H36" s="37">
        <f>G36*12</f>
        <v/>
      </c>
      <c r="I36" s="37">
        <f>C36*Tiers!$B$27</f>
        <v/>
      </c>
      <c r="J36" s="37">
        <f>B36*Tiers!$B$26</f>
        <v/>
      </c>
      <c r="K36" s="37">
        <f>IF(Assumptions!$C$155=1,(Assumptions!$C$135*Assumptions!$C$140+Hosting!$C$5*Assumptions!$C$140+MAX(0,ROUNDUP(B36/Assumptions!$C$141,0)-1)*Hosting!$C$5),IF(Assumptions!$C$155=2,(MAX(Assumptions!$C$145,ROUNDUP(B36/Assumptions!$C$146,0))*Assumptions!$C$144+B36*Hosting!$C$6),IF(B36&gt;=Assumptions!$C$156,(MAX(Assumptions!$C$145,ROUNDUP(B36/Assumptions!$C$146,0))*Assumptions!$C$144+B36*Hosting!$C$6),(Assumptions!$C$135*Assumptions!$C$140+Hosting!$C$5*Assumptions!$C$140+MAX(0,ROUNDUP(B36/Assumptions!$C$141,0)-1)*Hosting!$C$5))))+Assumptions!$C$159*(Assumptions!$C$160+MAX(0,B36*Assumptions!$C$163-Assumptions!$C$161)*Assumptions!$C$162)+Assumptions!$C$164*Assumptions!$C$165+B36*(Assumptions!$C$168+Assumptions!$C$169)</f>
        <v/>
      </c>
      <c r="L36" s="37">
        <f>C36*Tiers!$B$28</f>
        <v/>
      </c>
      <c r="M36" s="37">
        <f>G36+I36-J36-K36-L36</f>
        <v/>
      </c>
      <c r="N36" s="19">
        <f>IF(G36+I36&gt;0,M36/(G36+I36),0)</f>
        <v/>
      </c>
      <c r="O36" s="37">
        <f>O35+G36+I36</f>
        <v/>
      </c>
    </row>
    <row r="39">
      <c r="A39" s="5" t="inlineStr">
        <is>
          <t>Base scenario</t>
        </is>
      </c>
      <c r="B39" s="6" t="n"/>
      <c r="C39" s="6" t="n"/>
      <c r="D39" s="6" t="n"/>
      <c r="E39" s="6" t="n"/>
      <c r="F39" s="6" t="n"/>
      <c r="G39" s="6" t="n"/>
      <c r="H39" s="6" t="n"/>
      <c r="I39" s="6" t="n"/>
      <c r="J39" s="6" t="n"/>
      <c r="K39" s="6" t="n"/>
      <c r="L39" s="6" t="n"/>
      <c r="M39" s="6" t="n"/>
      <c r="N39" s="6" t="n"/>
      <c r="O39" s="6" t="n"/>
    </row>
    <row r="40" ht="30" customHeight="1">
      <c r="A40" s="4" t="inlineStr">
        <is>
          <t>Month</t>
        </is>
      </c>
      <c r="B40" s="4" t="inlineStr">
        <is>
          <t>Active tenants</t>
        </is>
      </c>
      <c r="C40" s="4" t="inlineStr">
        <is>
          <t>New tenants</t>
        </is>
      </c>
      <c r="D40" s="4" t="inlineStr">
        <is>
          <t>Platform MRR</t>
        </is>
      </c>
      <c r="E40" s="4" t="inlineStr">
        <is>
          <t>Add-on MRR</t>
        </is>
      </c>
      <c r="F40" s="4" t="inlineStr">
        <is>
          <t>Overage and resale MRR</t>
        </is>
      </c>
      <c r="G40" s="4" t="inlineStr">
        <is>
          <t>Total MRR</t>
        </is>
      </c>
      <c r="H40" s="4" t="inlineStr">
        <is>
          <t>ARR run rate</t>
        </is>
      </c>
      <c r="I40" s="4" t="inlineStr">
        <is>
          <t>One-time fees</t>
        </is>
      </c>
      <c r="J40" s="4" t="inlineStr">
        <is>
          <t>Cost: usage</t>
        </is>
      </c>
      <c r="K40" s="4" t="inlineStr">
        <is>
          <t>Cost: hosting, sites and lead lines</t>
        </is>
      </c>
      <c r="L40" s="4" t="inlineStr">
        <is>
          <t>Cost: one-time</t>
        </is>
      </c>
      <c r="M40" s="4" t="inlineStr">
        <is>
          <t>Gross profit</t>
        </is>
      </c>
      <c r="N40" s="4" t="inlineStr">
        <is>
          <t>Gross margin</t>
        </is>
      </c>
      <c r="O40" s="4" t="inlineStr">
        <is>
          <t>Cumulative revenue</t>
        </is>
      </c>
    </row>
    <row r="41">
      <c r="A41" s="15" t="n">
        <v>1</v>
      </c>
      <c r="B41" s="15">
        <f>MAX(Assumptions!$C$17,ROUND(Assumptions!$C$12*Assumptions!$C$14*(A41/24)^Assumptions!$C$16,0))</f>
        <v/>
      </c>
      <c r="C41" s="15">
        <f>MAX(0,B41-Assumptions!$C$17+ROUND(Assumptions!$C$18*Assumptions!$C$17,0))</f>
        <v/>
      </c>
      <c r="D41" s="37">
        <f>B41*Assumptions!$C$21</f>
        <v/>
      </c>
      <c r="E41" s="37">
        <f>B41*Tiers!$B$24</f>
        <v/>
      </c>
      <c r="F41" s="37">
        <f>B41*Tiers!$B$25</f>
        <v/>
      </c>
      <c r="G41" s="38">
        <f>D41+E41+F41</f>
        <v/>
      </c>
      <c r="H41" s="37">
        <f>G41*12</f>
        <v/>
      </c>
      <c r="I41" s="37">
        <f>C41*Tiers!$B$27</f>
        <v/>
      </c>
      <c r="J41" s="37">
        <f>B41*Tiers!$B$26</f>
        <v/>
      </c>
      <c r="K41" s="37">
        <f>IF(Assumptions!$C$155=1,(Assumptions!$C$135*Assumptions!$C$140+Hosting!$C$5*Assumptions!$C$140+MAX(0,ROUNDUP(B41/Assumptions!$C$141,0)-1)*Hosting!$C$5),IF(Assumptions!$C$155=2,(MAX(Assumptions!$C$145,ROUNDUP(B41/Assumptions!$C$146,0))*Assumptions!$C$144+B41*Hosting!$C$6),IF(B41&gt;=Assumptions!$C$156,(MAX(Assumptions!$C$145,ROUNDUP(B41/Assumptions!$C$146,0))*Assumptions!$C$144+B41*Hosting!$C$6),(Assumptions!$C$135*Assumptions!$C$140+Hosting!$C$5*Assumptions!$C$140+MAX(0,ROUNDUP(B41/Assumptions!$C$141,0)-1)*Hosting!$C$5))))+Assumptions!$C$159*(Assumptions!$C$160+MAX(0,B41*Assumptions!$C$163-Assumptions!$C$161)*Assumptions!$C$162)+Assumptions!$C$164*Assumptions!$C$165+B41*(Assumptions!$C$168+Assumptions!$C$169)</f>
        <v/>
      </c>
      <c r="L41" s="37">
        <f>C41*Tiers!$B$28</f>
        <v/>
      </c>
      <c r="M41" s="37">
        <f>G41+I41-J41-K41-L41</f>
        <v/>
      </c>
      <c r="N41" s="19">
        <f>IF(G41+I41&gt;0,M41/(G41+I41),0)</f>
        <v/>
      </c>
      <c r="O41" s="37">
        <f>G41+I41</f>
        <v/>
      </c>
    </row>
    <row r="42">
      <c r="A42" s="15" t="n">
        <v>2</v>
      </c>
      <c r="B42" s="15">
        <f>MAX(Assumptions!$C$17,ROUND(Assumptions!$C$12*Assumptions!$C$14*(A42/24)^Assumptions!$C$16,0))</f>
        <v/>
      </c>
      <c r="C42" s="15">
        <f>MAX(0,B42-B41+ROUND(Assumptions!$C$18*B41,0))</f>
        <v/>
      </c>
      <c r="D42" s="37">
        <f>B42*Assumptions!$C$21</f>
        <v/>
      </c>
      <c r="E42" s="37">
        <f>B42*Tiers!$B$24</f>
        <v/>
      </c>
      <c r="F42" s="37">
        <f>B42*Tiers!$B$25</f>
        <v/>
      </c>
      <c r="G42" s="38">
        <f>D42+E42+F42</f>
        <v/>
      </c>
      <c r="H42" s="37">
        <f>G42*12</f>
        <v/>
      </c>
      <c r="I42" s="37">
        <f>C42*Tiers!$B$27</f>
        <v/>
      </c>
      <c r="J42" s="37">
        <f>B42*Tiers!$B$26</f>
        <v/>
      </c>
      <c r="K42" s="37">
        <f>IF(Assumptions!$C$155=1,(Assumptions!$C$135*Assumptions!$C$140+Hosting!$C$5*Assumptions!$C$140+MAX(0,ROUNDUP(B42/Assumptions!$C$141,0)-1)*Hosting!$C$5),IF(Assumptions!$C$155=2,(MAX(Assumptions!$C$145,ROUNDUP(B42/Assumptions!$C$146,0))*Assumptions!$C$144+B42*Hosting!$C$6),IF(B42&gt;=Assumptions!$C$156,(MAX(Assumptions!$C$145,ROUNDUP(B42/Assumptions!$C$146,0))*Assumptions!$C$144+B42*Hosting!$C$6),(Assumptions!$C$135*Assumptions!$C$140+Hosting!$C$5*Assumptions!$C$140+MAX(0,ROUNDUP(B42/Assumptions!$C$141,0)-1)*Hosting!$C$5))))+Assumptions!$C$159*(Assumptions!$C$160+MAX(0,B42*Assumptions!$C$163-Assumptions!$C$161)*Assumptions!$C$162)+Assumptions!$C$164*Assumptions!$C$165+B42*(Assumptions!$C$168+Assumptions!$C$169)</f>
        <v/>
      </c>
      <c r="L42" s="37">
        <f>C42*Tiers!$B$28</f>
        <v/>
      </c>
      <c r="M42" s="37">
        <f>G42+I42-J42-K42-L42</f>
        <v/>
      </c>
      <c r="N42" s="19">
        <f>IF(G42+I42&gt;0,M42/(G42+I42),0)</f>
        <v/>
      </c>
      <c r="O42" s="37">
        <f>O41+G42+I42</f>
        <v/>
      </c>
    </row>
    <row r="43">
      <c r="A43" s="15" t="n">
        <v>3</v>
      </c>
      <c r="B43" s="15">
        <f>MAX(Assumptions!$C$17,ROUND(Assumptions!$C$12*Assumptions!$C$14*(A43/24)^Assumptions!$C$16,0))</f>
        <v/>
      </c>
      <c r="C43" s="15">
        <f>MAX(0,B43-B42+ROUND(Assumptions!$C$18*B42,0))</f>
        <v/>
      </c>
      <c r="D43" s="37">
        <f>B43*Assumptions!$C$21</f>
        <v/>
      </c>
      <c r="E43" s="37">
        <f>B43*Tiers!$B$24</f>
        <v/>
      </c>
      <c r="F43" s="37">
        <f>B43*Tiers!$B$25</f>
        <v/>
      </c>
      <c r="G43" s="38">
        <f>D43+E43+F43</f>
        <v/>
      </c>
      <c r="H43" s="37">
        <f>G43*12</f>
        <v/>
      </c>
      <c r="I43" s="37">
        <f>C43*Tiers!$B$27</f>
        <v/>
      </c>
      <c r="J43" s="37">
        <f>B43*Tiers!$B$26</f>
        <v/>
      </c>
      <c r="K43" s="37">
        <f>IF(Assumptions!$C$155=1,(Assumptions!$C$135*Assumptions!$C$140+Hosting!$C$5*Assumptions!$C$140+MAX(0,ROUNDUP(B43/Assumptions!$C$141,0)-1)*Hosting!$C$5),IF(Assumptions!$C$155=2,(MAX(Assumptions!$C$145,ROUNDUP(B43/Assumptions!$C$146,0))*Assumptions!$C$144+B43*Hosting!$C$6),IF(B43&gt;=Assumptions!$C$156,(MAX(Assumptions!$C$145,ROUNDUP(B43/Assumptions!$C$146,0))*Assumptions!$C$144+B43*Hosting!$C$6),(Assumptions!$C$135*Assumptions!$C$140+Hosting!$C$5*Assumptions!$C$140+MAX(0,ROUNDUP(B43/Assumptions!$C$141,0)-1)*Hosting!$C$5))))+Assumptions!$C$159*(Assumptions!$C$160+MAX(0,B43*Assumptions!$C$163-Assumptions!$C$161)*Assumptions!$C$162)+Assumptions!$C$164*Assumptions!$C$165+B43*(Assumptions!$C$168+Assumptions!$C$169)</f>
        <v/>
      </c>
      <c r="L43" s="37">
        <f>C43*Tiers!$B$28</f>
        <v/>
      </c>
      <c r="M43" s="37">
        <f>G43+I43-J43-K43-L43</f>
        <v/>
      </c>
      <c r="N43" s="19">
        <f>IF(G43+I43&gt;0,M43/(G43+I43),0)</f>
        <v/>
      </c>
      <c r="O43" s="37">
        <f>O42+G43+I43</f>
        <v/>
      </c>
    </row>
    <row r="44">
      <c r="A44" s="15" t="n">
        <v>4</v>
      </c>
      <c r="B44" s="15">
        <f>MAX(Assumptions!$C$17,ROUND(Assumptions!$C$12*Assumptions!$C$14*(A44/24)^Assumptions!$C$16,0))</f>
        <v/>
      </c>
      <c r="C44" s="15">
        <f>MAX(0,B44-B43+ROUND(Assumptions!$C$18*B43,0))</f>
        <v/>
      </c>
      <c r="D44" s="37">
        <f>B44*Assumptions!$C$21</f>
        <v/>
      </c>
      <c r="E44" s="37">
        <f>B44*Tiers!$B$24</f>
        <v/>
      </c>
      <c r="F44" s="37">
        <f>B44*Tiers!$B$25</f>
        <v/>
      </c>
      <c r="G44" s="38">
        <f>D44+E44+F44</f>
        <v/>
      </c>
      <c r="H44" s="37">
        <f>G44*12</f>
        <v/>
      </c>
      <c r="I44" s="37">
        <f>C44*Tiers!$B$27</f>
        <v/>
      </c>
      <c r="J44" s="37">
        <f>B44*Tiers!$B$26</f>
        <v/>
      </c>
      <c r="K44" s="37">
        <f>IF(Assumptions!$C$155=1,(Assumptions!$C$135*Assumptions!$C$140+Hosting!$C$5*Assumptions!$C$140+MAX(0,ROUNDUP(B44/Assumptions!$C$141,0)-1)*Hosting!$C$5),IF(Assumptions!$C$155=2,(MAX(Assumptions!$C$145,ROUNDUP(B44/Assumptions!$C$146,0))*Assumptions!$C$144+B44*Hosting!$C$6),IF(B44&gt;=Assumptions!$C$156,(MAX(Assumptions!$C$145,ROUNDUP(B44/Assumptions!$C$146,0))*Assumptions!$C$144+B44*Hosting!$C$6),(Assumptions!$C$135*Assumptions!$C$140+Hosting!$C$5*Assumptions!$C$140+MAX(0,ROUNDUP(B44/Assumptions!$C$141,0)-1)*Hosting!$C$5))))+Assumptions!$C$159*(Assumptions!$C$160+MAX(0,B44*Assumptions!$C$163-Assumptions!$C$161)*Assumptions!$C$162)+Assumptions!$C$164*Assumptions!$C$165+B44*(Assumptions!$C$168+Assumptions!$C$169)</f>
        <v/>
      </c>
      <c r="L44" s="37">
        <f>C44*Tiers!$B$28</f>
        <v/>
      </c>
      <c r="M44" s="37">
        <f>G44+I44-J44-K44-L44</f>
        <v/>
      </c>
      <c r="N44" s="19">
        <f>IF(G44+I44&gt;0,M44/(G44+I44),0)</f>
        <v/>
      </c>
      <c r="O44" s="37">
        <f>O43+G44+I44</f>
        <v/>
      </c>
    </row>
    <row r="45">
      <c r="A45" s="15" t="n">
        <v>5</v>
      </c>
      <c r="B45" s="15">
        <f>MAX(Assumptions!$C$17,ROUND(Assumptions!$C$12*Assumptions!$C$14*(A45/24)^Assumptions!$C$16,0))</f>
        <v/>
      </c>
      <c r="C45" s="15">
        <f>MAX(0,B45-B44+ROUND(Assumptions!$C$18*B44,0))</f>
        <v/>
      </c>
      <c r="D45" s="37">
        <f>B45*Assumptions!$C$21</f>
        <v/>
      </c>
      <c r="E45" s="37">
        <f>B45*Tiers!$B$24</f>
        <v/>
      </c>
      <c r="F45" s="37">
        <f>B45*Tiers!$B$25</f>
        <v/>
      </c>
      <c r="G45" s="38">
        <f>D45+E45+F45</f>
        <v/>
      </c>
      <c r="H45" s="37">
        <f>G45*12</f>
        <v/>
      </c>
      <c r="I45" s="37">
        <f>C45*Tiers!$B$27</f>
        <v/>
      </c>
      <c r="J45" s="37">
        <f>B45*Tiers!$B$26</f>
        <v/>
      </c>
      <c r="K45" s="37">
        <f>IF(Assumptions!$C$155=1,(Assumptions!$C$135*Assumptions!$C$140+Hosting!$C$5*Assumptions!$C$140+MAX(0,ROUNDUP(B45/Assumptions!$C$141,0)-1)*Hosting!$C$5),IF(Assumptions!$C$155=2,(MAX(Assumptions!$C$145,ROUNDUP(B45/Assumptions!$C$146,0))*Assumptions!$C$144+B45*Hosting!$C$6),IF(B45&gt;=Assumptions!$C$156,(MAX(Assumptions!$C$145,ROUNDUP(B45/Assumptions!$C$146,0))*Assumptions!$C$144+B45*Hosting!$C$6),(Assumptions!$C$135*Assumptions!$C$140+Hosting!$C$5*Assumptions!$C$140+MAX(0,ROUNDUP(B45/Assumptions!$C$141,0)-1)*Hosting!$C$5))))+Assumptions!$C$159*(Assumptions!$C$160+MAX(0,B45*Assumptions!$C$163-Assumptions!$C$161)*Assumptions!$C$162)+Assumptions!$C$164*Assumptions!$C$165+B45*(Assumptions!$C$168+Assumptions!$C$169)</f>
        <v/>
      </c>
      <c r="L45" s="37">
        <f>C45*Tiers!$B$28</f>
        <v/>
      </c>
      <c r="M45" s="37">
        <f>G45+I45-J45-K45-L45</f>
        <v/>
      </c>
      <c r="N45" s="19">
        <f>IF(G45+I45&gt;0,M45/(G45+I45),0)</f>
        <v/>
      </c>
      <c r="O45" s="37">
        <f>O44+G45+I45</f>
        <v/>
      </c>
    </row>
    <row r="46">
      <c r="A46" s="15" t="n">
        <v>6</v>
      </c>
      <c r="B46" s="15">
        <f>MAX(Assumptions!$C$17,ROUND(Assumptions!$C$12*Assumptions!$C$14*(A46/24)^Assumptions!$C$16,0))</f>
        <v/>
      </c>
      <c r="C46" s="15">
        <f>MAX(0,B46-B45+ROUND(Assumptions!$C$18*B45,0))</f>
        <v/>
      </c>
      <c r="D46" s="37">
        <f>B46*Assumptions!$C$21</f>
        <v/>
      </c>
      <c r="E46" s="37">
        <f>B46*Tiers!$B$24</f>
        <v/>
      </c>
      <c r="F46" s="37">
        <f>B46*Tiers!$B$25</f>
        <v/>
      </c>
      <c r="G46" s="38">
        <f>D46+E46+F46</f>
        <v/>
      </c>
      <c r="H46" s="37">
        <f>G46*12</f>
        <v/>
      </c>
      <c r="I46" s="37">
        <f>C46*Tiers!$B$27</f>
        <v/>
      </c>
      <c r="J46" s="37">
        <f>B46*Tiers!$B$26</f>
        <v/>
      </c>
      <c r="K46" s="37">
        <f>IF(Assumptions!$C$155=1,(Assumptions!$C$135*Assumptions!$C$140+Hosting!$C$5*Assumptions!$C$140+MAX(0,ROUNDUP(B46/Assumptions!$C$141,0)-1)*Hosting!$C$5),IF(Assumptions!$C$155=2,(MAX(Assumptions!$C$145,ROUNDUP(B46/Assumptions!$C$146,0))*Assumptions!$C$144+B46*Hosting!$C$6),IF(B46&gt;=Assumptions!$C$156,(MAX(Assumptions!$C$145,ROUNDUP(B46/Assumptions!$C$146,0))*Assumptions!$C$144+B46*Hosting!$C$6),(Assumptions!$C$135*Assumptions!$C$140+Hosting!$C$5*Assumptions!$C$140+MAX(0,ROUNDUP(B46/Assumptions!$C$141,0)-1)*Hosting!$C$5))))+Assumptions!$C$159*(Assumptions!$C$160+MAX(0,B46*Assumptions!$C$163-Assumptions!$C$161)*Assumptions!$C$162)+Assumptions!$C$164*Assumptions!$C$165+B46*(Assumptions!$C$168+Assumptions!$C$169)</f>
        <v/>
      </c>
      <c r="L46" s="37">
        <f>C46*Tiers!$B$28</f>
        <v/>
      </c>
      <c r="M46" s="37">
        <f>G46+I46-J46-K46-L46</f>
        <v/>
      </c>
      <c r="N46" s="19">
        <f>IF(G46+I46&gt;0,M46/(G46+I46),0)</f>
        <v/>
      </c>
      <c r="O46" s="37">
        <f>O45+G46+I46</f>
        <v/>
      </c>
    </row>
    <row r="47">
      <c r="A47" s="15" t="n">
        <v>7</v>
      </c>
      <c r="B47" s="15">
        <f>MAX(Assumptions!$C$17,ROUND(Assumptions!$C$12*Assumptions!$C$14*(A47/24)^Assumptions!$C$16,0))</f>
        <v/>
      </c>
      <c r="C47" s="15">
        <f>MAX(0,B47-B46+ROUND(Assumptions!$C$18*B46,0))</f>
        <v/>
      </c>
      <c r="D47" s="37">
        <f>B47*Assumptions!$C$21</f>
        <v/>
      </c>
      <c r="E47" s="37">
        <f>B47*Tiers!$B$24</f>
        <v/>
      </c>
      <c r="F47" s="37">
        <f>B47*Tiers!$B$25</f>
        <v/>
      </c>
      <c r="G47" s="38">
        <f>D47+E47+F47</f>
        <v/>
      </c>
      <c r="H47" s="37">
        <f>G47*12</f>
        <v/>
      </c>
      <c r="I47" s="37">
        <f>C47*Tiers!$B$27</f>
        <v/>
      </c>
      <c r="J47" s="37">
        <f>B47*Tiers!$B$26</f>
        <v/>
      </c>
      <c r="K47" s="37">
        <f>IF(Assumptions!$C$155=1,(Assumptions!$C$135*Assumptions!$C$140+Hosting!$C$5*Assumptions!$C$140+MAX(0,ROUNDUP(B47/Assumptions!$C$141,0)-1)*Hosting!$C$5),IF(Assumptions!$C$155=2,(MAX(Assumptions!$C$145,ROUNDUP(B47/Assumptions!$C$146,0))*Assumptions!$C$144+B47*Hosting!$C$6),IF(B47&gt;=Assumptions!$C$156,(MAX(Assumptions!$C$145,ROUNDUP(B47/Assumptions!$C$146,0))*Assumptions!$C$144+B47*Hosting!$C$6),(Assumptions!$C$135*Assumptions!$C$140+Hosting!$C$5*Assumptions!$C$140+MAX(0,ROUNDUP(B47/Assumptions!$C$141,0)-1)*Hosting!$C$5))))+Assumptions!$C$159*(Assumptions!$C$160+MAX(0,B47*Assumptions!$C$163-Assumptions!$C$161)*Assumptions!$C$162)+Assumptions!$C$164*Assumptions!$C$165+B47*(Assumptions!$C$168+Assumptions!$C$169)</f>
        <v/>
      </c>
      <c r="L47" s="37">
        <f>C47*Tiers!$B$28</f>
        <v/>
      </c>
      <c r="M47" s="37">
        <f>G47+I47-J47-K47-L47</f>
        <v/>
      </c>
      <c r="N47" s="19">
        <f>IF(G47+I47&gt;0,M47/(G47+I47),0)</f>
        <v/>
      </c>
      <c r="O47" s="37">
        <f>O46+G47+I47</f>
        <v/>
      </c>
    </row>
    <row r="48">
      <c r="A48" s="15" t="n">
        <v>8</v>
      </c>
      <c r="B48" s="15">
        <f>MAX(Assumptions!$C$17,ROUND(Assumptions!$C$12*Assumptions!$C$14*(A48/24)^Assumptions!$C$16,0))</f>
        <v/>
      </c>
      <c r="C48" s="15">
        <f>MAX(0,B48-B47+ROUND(Assumptions!$C$18*B47,0))</f>
        <v/>
      </c>
      <c r="D48" s="37">
        <f>B48*Assumptions!$C$21</f>
        <v/>
      </c>
      <c r="E48" s="37">
        <f>B48*Tiers!$B$24</f>
        <v/>
      </c>
      <c r="F48" s="37">
        <f>B48*Tiers!$B$25</f>
        <v/>
      </c>
      <c r="G48" s="38">
        <f>D48+E48+F48</f>
        <v/>
      </c>
      <c r="H48" s="37">
        <f>G48*12</f>
        <v/>
      </c>
      <c r="I48" s="37">
        <f>C48*Tiers!$B$27</f>
        <v/>
      </c>
      <c r="J48" s="37">
        <f>B48*Tiers!$B$26</f>
        <v/>
      </c>
      <c r="K48" s="37">
        <f>IF(Assumptions!$C$155=1,(Assumptions!$C$135*Assumptions!$C$140+Hosting!$C$5*Assumptions!$C$140+MAX(0,ROUNDUP(B48/Assumptions!$C$141,0)-1)*Hosting!$C$5),IF(Assumptions!$C$155=2,(MAX(Assumptions!$C$145,ROUNDUP(B48/Assumptions!$C$146,0))*Assumptions!$C$144+B48*Hosting!$C$6),IF(B48&gt;=Assumptions!$C$156,(MAX(Assumptions!$C$145,ROUNDUP(B48/Assumptions!$C$146,0))*Assumptions!$C$144+B48*Hosting!$C$6),(Assumptions!$C$135*Assumptions!$C$140+Hosting!$C$5*Assumptions!$C$140+MAX(0,ROUNDUP(B48/Assumptions!$C$141,0)-1)*Hosting!$C$5))))+Assumptions!$C$159*(Assumptions!$C$160+MAX(0,B48*Assumptions!$C$163-Assumptions!$C$161)*Assumptions!$C$162)+Assumptions!$C$164*Assumptions!$C$165+B48*(Assumptions!$C$168+Assumptions!$C$169)</f>
        <v/>
      </c>
      <c r="L48" s="37">
        <f>C48*Tiers!$B$28</f>
        <v/>
      </c>
      <c r="M48" s="37">
        <f>G48+I48-J48-K48-L48</f>
        <v/>
      </c>
      <c r="N48" s="19">
        <f>IF(G48+I48&gt;0,M48/(G48+I48),0)</f>
        <v/>
      </c>
      <c r="O48" s="37">
        <f>O47+G48+I48</f>
        <v/>
      </c>
    </row>
    <row r="49">
      <c r="A49" s="15" t="n">
        <v>9</v>
      </c>
      <c r="B49" s="15">
        <f>MAX(Assumptions!$C$17,ROUND(Assumptions!$C$12*Assumptions!$C$14*(A49/24)^Assumptions!$C$16,0))</f>
        <v/>
      </c>
      <c r="C49" s="15">
        <f>MAX(0,B49-B48+ROUND(Assumptions!$C$18*B48,0))</f>
        <v/>
      </c>
      <c r="D49" s="37">
        <f>B49*Assumptions!$C$21</f>
        <v/>
      </c>
      <c r="E49" s="37">
        <f>B49*Tiers!$B$24</f>
        <v/>
      </c>
      <c r="F49" s="37">
        <f>B49*Tiers!$B$25</f>
        <v/>
      </c>
      <c r="G49" s="38">
        <f>D49+E49+F49</f>
        <v/>
      </c>
      <c r="H49" s="37">
        <f>G49*12</f>
        <v/>
      </c>
      <c r="I49" s="37">
        <f>C49*Tiers!$B$27</f>
        <v/>
      </c>
      <c r="J49" s="37">
        <f>B49*Tiers!$B$26</f>
        <v/>
      </c>
      <c r="K49" s="37">
        <f>IF(Assumptions!$C$155=1,(Assumptions!$C$135*Assumptions!$C$140+Hosting!$C$5*Assumptions!$C$140+MAX(0,ROUNDUP(B49/Assumptions!$C$141,0)-1)*Hosting!$C$5),IF(Assumptions!$C$155=2,(MAX(Assumptions!$C$145,ROUNDUP(B49/Assumptions!$C$146,0))*Assumptions!$C$144+B49*Hosting!$C$6),IF(B49&gt;=Assumptions!$C$156,(MAX(Assumptions!$C$145,ROUNDUP(B49/Assumptions!$C$146,0))*Assumptions!$C$144+B49*Hosting!$C$6),(Assumptions!$C$135*Assumptions!$C$140+Hosting!$C$5*Assumptions!$C$140+MAX(0,ROUNDUP(B49/Assumptions!$C$141,0)-1)*Hosting!$C$5))))+Assumptions!$C$159*(Assumptions!$C$160+MAX(0,B49*Assumptions!$C$163-Assumptions!$C$161)*Assumptions!$C$162)+Assumptions!$C$164*Assumptions!$C$165+B49*(Assumptions!$C$168+Assumptions!$C$169)</f>
        <v/>
      </c>
      <c r="L49" s="37">
        <f>C49*Tiers!$B$28</f>
        <v/>
      </c>
      <c r="M49" s="37">
        <f>G49+I49-J49-K49-L49</f>
        <v/>
      </c>
      <c r="N49" s="19">
        <f>IF(G49+I49&gt;0,M49/(G49+I49),0)</f>
        <v/>
      </c>
      <c r="O49" s="37">
        <f>O48+G49+I49</f>
        <v/>
      </c>
    </row>
    <row r="50">
      <c r="A50" s="15" t="n">
        <v>10</v>
      </c>
      <c r="B50" s="15">
        <f>MAX(Assumptions!$C$17,ROUND(Assumptions!$C$12*Assumptions!$C$14*(A50/24)^Assumptions!$C$16,0))</f>
        <v/>
      </c>
      <c r="C50" s="15">
        <f>MAX(0,B50-B49+ROUND(Assumptions!$C$18*B49,0))</f>
        <v/>
      </c>
      <c r="D50" s="37">
        <f>B50*Assumptions!$C$21</f>
        <v/>
      </c>
      <c r="E50" s="37">
        <f>B50*Tiers!$B$24</f>
        <v/>
      </c>
      <c r="F50" s="37">
        <f>B50*Tiers!$B$25</f>
        <v/>
      </c>
      <c r="G50" s="38">
        <f>D50+E50+F50</f>
        <v/>
      </c>
      <c r="H50" s="37">
        <f>G50*12</f>
        <v/>
      </c>
      <c r="I50" s="37">
        <f>C50*Tiers!$B$27</f>
        <v/>
      </c>
      <c r="J50" s="37">
        <f>B50*Tiers!$B$26</f>
        <v/>
      </c>
      <c r="K50" s="37">
        <f>IF(Assumptions!$C$155=1,(Assumptions!$C$135*Assumptions!$C$140+Hosting!$C$5*Assumptions!$C$140+MAX(0,ROUNDUP(B50/Assumptions!$C$141,0)-1)*Hosting!$C$5),IF(Assumptions!$C$155=2,(MAX(Assumptions!$C$145,ROUNDUP(B50/Assumptions!$C$146,0))*Assumptions!$C$144+B50*Hosting!$C$6),IF(B50&gt;=Assumptions!$C$156,(MAX(Assumptions!$C$145,ROUNDUP(B50/Assumptions!$C$146,0))*Assumptions!$C$144+B50*Hosting!$C$6),(Assumptions!$C$135*Assumptions!$C$140+Hosting!$C$5*Assumptions!$C$140+MAX(0,ROUNDUP(B50/Assumptions!$C$141,0)-1)*Hosting!$C$5))))+Assumptions!$C$159*(Assumptions!$C$160+MAX(0,B50*Assumptions!$C$163-Assumptions!$C$161)*Assumptions!$C$162)+Assumptions!$C$164*Assumptions!$C$165+B50*(Assumptions!$C$168+Assumptions!$C$169)</f>
        <v/>
      </c>
      <c r="L50" s="37">
        <f>C50*Tiers!$B$28</f>
        <v/>
      </c>
      <c r="M50" s="37">
        <f>G50+I50-J50-K50-L50</f>
        <v/>
      </c>
      <c r="N50" s="19">
        <f>IF(G50+I50&gt;0,M50/(G50+I50),0)</f>
        <v/>
      </c>
      <c r="O50" s="37">
        <f>O49+G50+I50</f>
        <v/>
      </c>
    </row>
    <row r="51">
      <c r="A51" s="15" t="n">
        <v>11</v>
      </c>
      <c r="B51" s="15">
        <f>MAX(Assumptions!$C$17,ROUND(Assumptions!$C$12*Assumptions!$C$14*(A51/24)^Assumptions!$C$16,0))</f>
        <v/>
      </c>
      <c r="C51" s="15">
        <f>MAX(0,B51-B50+ROUND(Assumptions!$C$18*B50,0))</f>
        <v/>
      </c>
      <c r="D51" s="37">
        <f>B51*Assumptions!$C$21</f>
        <v/>
      </c>
      <c r="E51" s="37">
        <f>B51*Tiers!$B$24</f>
        <v/>
      </c>
      <c r="F51" s="37">
        <f>B51*Tiers!$B$25</f>
        <v/>
      </c>
      <c r="G51" s="38">
        <f>D51+E51+F51</f>
        <v/>
      </c>
      <c r="H51" s="37">
        <f>G51*12</f>
        <v/>
      </c>
      <c r="I51" s="37">
        <f>C51*Tiers!$B$27</f>
        <v/>
      </c>
      <c r="J51" s="37">
        <f>B51*Tiers!$B$26</f>
        <v/>
      </c>
      <c r="K51" s="37">
        <f>IF(Assumptions!$C$155=1,(Assumptions!$C$135*Assumptions!$C$140+Hosting!$C$5*Assumptions!$C$140+MAX(0,ROUNDUP(B51/Assumptions!$C$141,0)-1)*Hosting!$C$5),IF(Assumptions!$C$155=2,(MAX(Assumptions!$C$145,ROUNDUP(B51/Assumptions!$C$146,0))*Assumptions!$C$144+B51*Hosting!$C$6),IF(B51&gt;=Assumptions!$C$156,(MAX(Assumptions!$C$145,ROUNDUP(B51/Assumptions!$C$146,0))*Assumptions!$C$144+B51*Hosting!$C$6),(Assumptions!$C$135*Assumptions!$C$140+Hosting!$C$5*Assumptions!$C$140+MAX(0,ROUNDUP(B51/Assumptions!$C$141,0)-1)*Hosting!$C$5))))+Assumptions!$C$159*(Assumptions!$C$160+MAX(0,B51*Assumptions!$C$163-Assumptions!$C$161)*Assumptions!$C$162)+Assumptions!$C$164*Assumptions!$C$165+B51*(Assumptions!$C$168+Assumptions!$C$169)</f>
        <v/>
      </c>
      <c r="L51" s="37">
        <f>C51*Tiers!$B$28</f>
        <v/>
      </c>
      <c r="M51" s="37">
        <f>G51+I51-J51-K51-L51</f>
        <v/>
      </c>
      <c r="N51" s="19">
        <f>IF(G51+I51&gt;0,M51/(G51+I51),0)</f>
        <v/>
      </c>
      <c r="O51" s="37">
        <f>O50+G51+I51</f>
        <v/>
      </c>
    </row>
    <row r="52">
      <c r="A52" s="15" t="n">
        <v>12</v>
      </c>
      <c r="B52" s="15">
        <f>MAX(Assumptions!$C$17,ROUND(Assumptions!$C$12*Assumptions!$C$14*(A52/24)^Assumptions!$C$16,0))</f>
        <v/>
      </c>
      <c r="C52" s="15">
        <f>MAX(0,B52-B51+ROUND(Assumptions!$C$18*B51,0))</f>
        <v/>
      </c>
      <c r="D52" s="37">
        <f>B52*Assumptions!$C$21</f>
        <v/>
      </c>
      <c r="E52" s="37">
        <f>B52*Tiers!$B$24</f>
        <v/>
      </c>
      <c r="F52" s="37">
        <f>B52*Tiers!$B$25</f>
        <v/>
      </c>
      <c r="G52" s="38">
        <f>D52+E52+F52</f>
        <v/>
      </c>
      <c r="H52" s="37">
        <f>G52*12</f>
        <v/>
      </c>
      <c r="I52" s="37">
        <f>C52*Tiers!$B$27</f>
        <v/>
      </c>
      <c r="J52" s="37">
        <f>B52*Tiers!$B$26</f>
        <v/>
      </c>
      <c r="K52" s="37">
        <f>IF(Assumptions!$C$155=1,(Assumptions!$C$135*Assumptions!$C$140+Hosting!$C$5*Assumptions!$C$140+MAX(0,ROUNDUP(B52/Assumptions!$C$141,0)-1)*Hosting!$C$5),IF(Assumptions!$C$155=2,(MAX(Assumptions!$C$145,ROUNDUP(B52/Assumptions!$C$146,0))*Assumptions!$C$144+B52*Hosting!$C$6),IF(B52&gt;=Assumptions!$C$156,(MAX(Assumptions!$C$145,ROUNDUP(B52/Assumptions!$C$146,0))*Assumptions!$C$144+B52*Hosting!$C$6),(Assumptions!$C$135*Assumptions!$C$140+Hosting!$C$5*Assumptions!$C$140+MAX(0,ROUNDUP(B52/Assumptions!$C$141,0)-1)*Hosting!$C$5))))+Assumptions!$C$159*(Assumptions!$C$160+MAX(0,B52*Assumptions!$C$163-Assumptions!$C$161)*Assumptions!$C$162)+Assumptions!$C$164*Assumptions!$C$165+B52*(Assumptions!$C$168+Assumptions!$C$169)</f>
        <v/>
      </c>
      <c r="L52" s="37">
        <f>C52*Tiers!$B$28</f>
        <v/>
      </c>
      <c r="M52" s="37">
        <f>G52+I52-J52-K52-L52</f>
        <v/>
      </c>
      <c r="N52" s="19">
        <f>IF(G52+I52&gt;0,M52/(G52+I52),0)</f>
        <v/>
      </c>
      <c r="O52" s="37">
        <f>O51+G52+I52</f>
        <v/>
      </c>
    </row>
    <row r="53">
      <c r="A53" s="15" t="n">
        <v>13</v>
      </c>
      <c r="B53" s="15">
        <f>MAX(Assumptions!$C$17,ROUND(Assumptions!$C$12*Assumptions!$C$14*(A53/24)^Assumptions!$C$16,0))</f>
        <v/>
      </c>
      <c r="C53" s="15">
        <f>MAX(0,B53-B52+ROUND(Assumptions!$C$18*B52,0))</f>
        <v/>
      </c>
      <c r="D53" s="37">
        <f>B53*Assumptions!$C$21</f>
        <v/>
      </c>
      <c r="E53" s="37">
        <f>B53*Tiers!$B$24</f>
        <v/>
      </c>
      <c r="F53" s="37">
        <f>B53*Tiers!$B$25</f>
        <v/>
      </c>
      <c r="G53" s="38">
        <f>D53+E53+F53</f>
        <v/>
      </c>
      <c r="H53" s="37">
        <f>G53*12</f>
        <v/>
      </c>
      <c r="I53" s="37">
        <f>C53*Tiers!$B$27</f>
        <v/>
      </c>
      <c r="J53" s="37">
        <f>B53*Tiers!$B$26</f>
        <v/>
      </c>
      <c r="K53" s="37">
        <f>IF(Assumptions!$C$155=1,(Assumptions!$C$135*Assumptions!$C$140+Hosting!$C$5*Assumptions!$C$140+MAX(0,ROUNDUP(B53/Assumptions!$C$141,0)-1)*Hosting!$C$5),IF(Assumptions!$C$155=2,(MAX(Assumptions!$C$145,ROUNDUP(B53/Assumptions!$C$146,0))*Assumptions!$C$144+B53*Hosting!$C$6),IF(B53&gt;=Assumptions!$C$156,(MAX(Assumptions!$C$145,ROUNDUP(B53/Assumptions!$C$146,0))*Assumptions!$C$144+B53*Hosting!$C$6),(Assumptions!$C$135*Assumptions!$C$140+Hosting!$C$5*Assumptions!$C$140+MAX(0,ROUNDUP(B53/Assumptions!$C$141,0)-1)*Hosting!$C$5))))+Assumptions!$C$159*(Assumptions!$C$160+MAX(0,B53*Assumptions!$C$163-Assumptions!$C$161)*Assumptions!$C$162)+Assumptions!$C$164*Assumptions!$C$165+B53*(Assumptions!$C$168+Assumptions!$C$169)</f>
        <v/>
      </c>
      <c r="L53" s="37">
        <f>C53*Tiers!$B$28</f>
        <v/>
      </c>
      <c r="M53" s="37">
        <f>G53+I53-J53-K53-L53</f>
        <v/>
      </c>
      <c r="N53" s="19">
        <f>IF(G53+I53&gt;0,M53/(G53+I53),0)</f>
        <v/>
      </c>
      <c r="O53" s="37">
        <f>O52+G53+I53</f>
        <v/>
      </c>
    </row>
    <row r="54">
      <c r="A54" s="15" t="n">
        <v>14</v>
      </c>
      <c r="B54" s="15">
        <f>MAX(Assumptions!$C$17,ROUND(Assumptions!$C$12*Assumptions!$C$14*(A54/24)^Assumptions!$C$16,0))</f>
        <v/>
      </c>
      <c r="C54" s="15">
        <f>MAX(0,B54-B53+ROUND(Assumptions!$C$18*B53,0))</f>
        <v/>
      </c>
      <c r="D54" s="37">
        <f>B54*Assumptions!$C$21</f>
        <v/>
      </c>
      <c r="E54" s="37">
        <f>B54*Tiers!$B$24</f>
        <v/>
      </c>
      <c r="F54" s="37">
        <f>B54*Tiers!$B$25</f>
        <v/>
      </c>
      <c r="G54" s="38">
        <f>D54+E54+F54</f>
        <v/>
      </c>
      <c r="H54" s="37">
        <f>G54*12</f>
        <v/>
      </c>
      <c r="I54" s="37">
        <f>C54*Tiers!$B$27</f>
        <v/>
      </c>
      <c r="J54" s="37">
        <f>B54*Tiers!$B$26</f>
        <v/>
      </c>
      <c r="K54" s="37">
        <f>IF(Assumptions!$C$155=1,(Assumptions!$C$135*Assumptions!$C$140+Hosting!$C$5*Assumptions!$C$140+MAX(0,ROUNDUP(B54/Assumptions!$C$141,0)-1)*Hosting!$C$5),IF(Assumptions!$C$155=2,(MAX(Assumptions!$C$145,ROUNDUP(B54/Assumptions!$C$146,0))*Assumptions!$C$144+B54*Hosting!$C$6),IF(B54&gt;=Assumptions!$C$156,(MAX(Assumptions!$C$145,ROUNDUP(B54/Assumptions!$C$146,0))*Assumptions!$C$144+B54*Hosting!$C$6),(Assumptions!$C$135*Assumptions!$C$140+Hosting!$C$5*Assumptions!$C$140+MAX(0,ROUNDUP(B54/Assumptions!$C$141,0)-1)*Hosting!$C$5))))+Assumptions!$C$159*(Assumptions!$C$160+MAX(0,B54*Assumptions!$C$163-Assumptions!$C$161)*Assumptions!$C$162)+Assumptions!$C$164*Assumptions!$C$165+B54*(Assumptions!$C$168+Assumptions!$C$169)</f>
        <v/>
      </c>
      <c r="L54" s="37">
        <f>C54*Tiers!$B$28</f>
        <v/>
      </c>
      <c r="M54" s="37">
        <f>G54+I54-J54-K54-L54</f>
        <v/>
      </c>
      <c r="N54" s="19">
        <f>IF(G54+I54&gt;0,M54/(G54+I54),0)</f>
        <v/>
      </c>
      <c r="O54" s="37">
        <f>O53+G54+I54</f>
        <v/>
      </c>
    </row>
    <row r="55">
      <c r="A55" s="15" t="n">
        <v>15</v>
      </c>
      <c r="B55" s="15">
        <f>MAX(Assumptions!$C$17,ROUND(Assumptions!$C$12*Assumptions!$C$14*(A55/24)^Assumptions!$C$16,0))</f>
        <v/>
      </c>
      <c r="C55" s="15">
        <f>MAX(0,B55-B54+ROUND(Assumptions!$C$18*B54,0))</f>
        <v/>
      </c>
      <c r="D55" s="37">
        <f>B55*Assumptions!$C$21</f>
        <v/>
      </c>
      <c r="E55" s="37">
        <f>B55*Tiers!$B$24</f>
        <v/>
      </c>
      <c r="F55" s="37">
        <f>B55*Tiers!$B$25</f>
        <v/>
      </c>
      <c r="G55" s="38">
        <f>D55+E55+F55</f>
        <v/>
      </c>
      <c r="H55" s="37">
        <f>G55*12</f>
        <v/>
      </c>
      <c r="I55" s="37">
        <f>C55*Tiers!$B$27</f>
        <v/>
      </c>
      <c r="J55" s="37">
        <f>B55*Tiers!$B$26</f>
        <v/>
      </c>
      <c r="K55" s="37">
        <f>IF(Assumptions!$C$155=1,(Assumptions!$C$135*Assumptions!$C$140+Hosting!$C$5*Assumptions!$C$140+MAX(0,ROUNDUP(B55/Assumptions!$C$141,0)-1)*Hosting!$C$5),IF(Assumptions!$C$155=2,(MAX(Assumptions!$C$145,ROUNDUP(B55/Assumptions!$C$146,0))*Assumptions!$C$144+B55*Hosting!$C$6),IF(B55&gt;=Assumptions!$C$156,(MAX(Assumptions!$C$145,ROUNDUP(B55/Assumptions!$C$146,0))*Assumptions!$C$144+B55*Hosting!$C$6),(Assumptions!$C$135*Assumptions!$C$140+Hosting!$C$5*Assumptions!$C$140+MAX(0,ROUNDUP(B55/Assumptions!$C$141,0)-1)*Hosting!$C$5))))+Assumptions!$C$159*(Assumptions!$C$160+MAX(0,B55*Assumptions!$C$163-Assumptions!$C$161)*Assumptions!$C$162)+Assumptions!$C$164*Assumptions!$C$165+B55*(Assumptions!$C$168+Assumptions!$C$169)</f>
        <v/>
      </c>
      <c r="L55" s="37">
        <f>C55*Tiers!$B$28</f>
        <v/>
      </c>
      <c r="M55" s="37">
        <f>G55+I55-J55-K55-L55</f>
        <v/>
      </c>
      <c r="N55" s="19">
        <f>IF(G55+I55&gt;0,M55/(G55+I55),0)</f>
        <v/>
      </c>
      <c r="O55" s="37">
        <f>O54+G55+I55</f>
        <v/>
      </c>
    </row>
    <row r="56">
      <c r="A56" s="15" t="n">
        <v>16</v>
      </c>
      <c r="B56" s="15">
        <f>MAX(Assumptions!$C$17,ROUND(Assumptions!$C$12*Assumptions!$C$14*(A56/24)^Assumptions!$C$16,0))</f>
        <v/>
      </c>
      <c r="C56" s="15">
        <f>MAX(0,B56-B55+ROUND(Assumptions!$C$18*B55,0))</f>
        <v/>
      </c>
      <c r="D56" s="37">
        <f>B56*Assumptions!$C$21</f>
        <v/>
      </c>
      <c r="E56" s="37">
        <f>B56*Tiers!$B$24</f>
        <v/>
      </c>
      <c r="F56" s="37">
        <f>B56*Tiers!$B$25</f>
        <v/>
      </c>
      <c r="G56" s="38">
        <f>D56+E56+F56</f>
        <v/>
      </c>
      <c r="H56" s="37">
        <f>G56*12</f>
        <v/>
      </c>
      <c r="I56" s="37">
        <f>C56*Tiers!$B$27</f>
        <v/>
      </c>
      <c r="J56" s="37">
        <f>B56*Tiers!$B$26</f>
        <v/>
      </c>
      <c r="K56" s="37">
        <f>IF(Assumptions!$C$155=1,(Assumptions!$C$135*Assumptions!$C$140+Hosting!$C$5*Assumptions!$C$140+MAX(0,ROUNDUP(B56/Assumptions!$C$141,0)-1)*Hosting!$C$5),IF(Assumptions!$C$155=2,(MAX(Assumptions!$C$145,ROUNDUP(B56/Assumptions!$C$146,0))*Assumptions!$C$144+B56*Hosting!$C$6),IF(B56&gt;=Assumptions!$C$156,(MAX(Assumptions!$C$145,ROUNDUP(B56/Assumptions!$C$146,0))*Assumptions!$C$144+B56*Hosting!$C$6),(Assumptions!$C$135*Assumptions!$C$140+Hosting!$C$5*Assumptions!$C$140+MAX(0,ROUNDUP(B56/Assumptions!$C$141,0)-1)*Hosting!$C$5))))+Assumptions!$C$159*(Assumptions!$C$160+MAX(0,B56*Assumptions!$C$163-Assumptions!$C$161)*Assumptions!$C$162)+Assumptions!$C$164*Assumptions!$C$165+B56*(Assumptions!$C$168+Assumptions!$C$169)</f>
        <v/>
      </c>
      <c r="L56" s="37">
        <f>C56*Tiers!$B$28</f>
        <v/>
      </c>
      <c r="M56" s="37">
        <f>G56+I56-J56-K56-L56</f>
        <v/>
      </c>
      <c r="N56" s="19">
        <f>IF(G56+I56&gt;0,M56/(G56+I56),0)</f>
        <v/>
      </c>
      <c r="O56" s="37">
        <f>O55+G56+I56</f>
        <v/>
      </c>
    </row>
    <row r="57">
      <c r="A57" s="15" t="n">
        <v>17</v>
      </c>
      <c r="B57" s="15">
        <f>MAX(Assumptions!$C$17,ROUND(Assumptions!$C$12*Assumptions!$C$14*(A57/24)^Assumptions!$C$16,0))</f>
        <v/>
      </c>
      <c r="C57" s="15">
        <f>MAX(0,B57-B56+ROUND(Assumptions!$C$18*B56,0))</f>
        <v/>
      </c>
      <c r="D57" s="37">
        <f>B57*Assumptions!$C$21</f>
        <v/>
      </c>
      <c r="E57" s="37">
        <f>B57*Tiers!$B$24</f>
        <v/>
      </c>
      <c r="F57" s="37">
        <f>B57*Tiers!$B$25</f>
        <v/>
      </c>
      <c r="G57" s="38">
        <f>D57+E57+F57</f>
        <v/>
      </c>
      <c r="H57" s="37">
        <f>G57*12</f>
        <v/>
      </c>
      <c r="I57" s="37">
        <f>C57*Tiers!$B$27</f>
        <v/>
      </c>
      <c r="J57" s="37">
        <f>B57*Tiers!$B$26</f>
        <v/>
      </c>
      <c r="K57" s="37">
        <f>IF(Assumptions!$C$155=1,(Assumptions!$C$135*Assumptions!$C$140+Hosting!$C$5*Assumptions!$C$140+MAX(0,ROUNDUP(B57/Assumptions!$C$141,0)-1)*Hosting!$C$5),IF(Assumptions!$C$155=2,(MAX(Assumptions!$C$145,ROUNDUP(B57/Assumptions!$C$146,0))*Assumptions!$C$144+B57*Hosting!$C$6),IF(B57&gt;=Assumptions!$C$156,(MAX(Assumptions!$C$145,ROUNDUP(B57/Assumptions!$C$146,0))*Assumptions!$C$144+B57*Hosting!$C$6),(Assumptions!$C$135*Assumptions!$C$140+Hosting!$C$5*Assumptions!$C$140+MAX(0,ROUNDUP(B57/Assumptions!$C$141,0)-1)*Hosting!$C$5))))+Assumptions!$C$159*(Assumptions!$C$160+MAX(0,B57*Assumptions!$C$163-Assumptions!$C$161)*Assumptions!$C$162)+Assumptions!$C$164*Assumptions!$C$165+B57*(Assumptions!$C$168+Assumptions!$C$169)</f>
        <v/>
      </c>
      <c r="L57" s="37">
        <f>C57*Tiers!$B$28</f>
        <v/>
      </c>
      <c r="M57" s="37">
        <f>G57+I57-J57-K57-L57</f>
        <v/>
      </c>
      <c r="N57" s="19">
        <f>IF(G57+I57&gt;0,M57/(G57+I57),0)</f>
        <v/>
      </c>
      <c r="O57" s="37">
        <f>O56+G57+I57</f>
        <v/>
      </c>
    </row>
    <row r="58">
      <c r="A58" s="15" t="n">
        <v>18</v>
      </c>
      <c r="B58" s="15">
        <f>MAX(Assumptions!$C$17,ROUND(Assumptions!$C$12*Assumptions!$C$14*(A58/24)^Assumptions!$C$16,0))</f>
        <v/>
      </c>
      <c r="C58" s="15">
        <f>MAX(0,B58-B57+ROUND(Assumptions!$C$18*B57,0))</f>
        <v/>
      </c>
      <c r="D58" s="37">
        <f>B58*Assumptions!$C$21</f>
        <v/>
      </c>
      <c r="E58" s="37">
        <f>B58*Tiers!$B$24</f>
        <v/>
      </c>
      <c r="F58" s="37">
        <f>B58*Tiers!$B$25</f>
        <v/>
      </c>
      <c r="G58" s="38">
        <f>D58+E58+F58</f>
        <v/>
      </c>
      <c r="H58" s="37">
        <f>G58*12</f>
        <v/>
      </c>
      <c r="I58" s="37">
        <f>C58*Tiers!$B$27</f>
        <v/>
      </c>
      <c r="J58" s="37">
        <f>B58*Tiers!$B$26</f>
        <v/>
      </c>
      <c r="K58" s="37">
        <f>IF(Assumptions!$C$155=1,(Assumptions!$C$135*Assumptions!$C$140+Hosting!$C$5*Assumptions!$C$140+MAX(0,ROUNDUP(B58/Assumptions!$C$141,0)-1)*Hosting!$C$5),IF(Assumptions!$C$155=2,(MAX(Assumptions!$C$145,ROUNDUP(B58/Assumptions!$C$146,0))*Assumptions!$C$144+B58*Hosting!$C$6),IF(B58&gt;=Assumptions!$C$156,(MAX(Assumptions!$C$145,ROUNDUP(B58/Assumptions!$C$146,0))*Assumptions!$C$144+B58*Hosting!$C$6),(Assumptions!$C$135*Assumptions!$C$140+Hosting!$C$5*Assumptions!$C$140+MAX(0,ROUNDUP(B58/Assumptions!$C$141,0)-1)*Hosting!$C$5))))+Assumptions!$C$159*(Assumptions!$C$160+MAX(0,B58*Assumptions!$C$163-Assumptions!$C$161)*Assumptions!$C$162)+Assumptions!$C$164*Assumptions!$C$165+B58*(Assumptions!$C$168+Assumptions!$C$169)</f>
        <v/>
      </c>
      <c r="L58" s="37">
        <f>C58*Tiers!$B$28</f>
        <v/>
      </c>
      <c r="M58" s="37">
        <f>G58+I58-J58-K58-L58</f>
        <v/>
      </c>
      <c r="N58" s="19">
        <f>IF(G58+I58&gt;0,M58/(G58+I58),0)</f>
        <v/>
      </c>
      <c r="O58" s="37">
        <f>O57+G58+I58</f>
        <v/>
      </c>
    </row>
    <row r="59">
      <c r="A59" s="15" t="n">
        <v>19</v>
      </c>
      <c r="B59" s="15">
        <f>MAX(Assumptions!$C$17,ROUND(Assumptions!$C$12*Assumptions!$C$14*(A59/24)^Assumptions!$C$16,0))</f>
        <v/>
      </c>
      <c r="C59" s="15">
        <f>MAX(0,B59-B58+ROUND(Assumptions!$C$18*B58,0))</f>
        <v/>
      </c>
      <c r="D59" s="37">
        <f>B59*Assumptions!$C$21</f>
        <v/>
      </c>
      <c r="E59" s="37">
        <f>B59*Tiers!$B$24</f>
        <v/>
      </c>
      <c r="F59" s="37">
        <f>B59*Tiers!$B$25</f>
        <v/>
      </c>
      <c r="G59" s="38">
        <f>D59+E59+F59</f>
        <v/>
      </c>
      <c r="H59" s="37">
        <f>G59*12</f>
        <v/>
      </c>
      <c r="I59" s="37">
        <f>C59*Tiers!$B$27</f>
        <v/>
      </c>
      <c r="J59" s="37">
        <f>B59*Tiers!$B$26</f>
        <v/>
      </c>
      <c r="K59" s="37">
        <f>IF(Assumptions!$C$155=1,(Assumptions!$C$135*Assumptions!$C$140+Hosting!$C$5*Assumptions!$C$140+MAX(0,ROUNDUP(B59/Assumptions!$C$141,0)-1)*Hosting!$C$5),IF(Assumptions!$C$155=2,(MAX(Assumptions!$C$145,ROUNDUP(B59/Assumptions!$C$146,0))*Assumptions!$C$144+B59*Hosting!$C$6),IF(B59&gt;=Assumptions!$C$156,(MAX(Assumptions!$C$145,ROUNDUP(B59/Assumptions!$C$146,0))*Assumptions!$C$144+B59*Hosting!$C$6),(Assumptions!$C$135*Assumptions!$C$140+Hosting!$C$5*Assumptions!$C$140+MAX(0,ROUNDUP(B59/Assumptions!$C$141,0)-1)*Hosting!$C$5))))+Assumptions!$C$159*(Assumptions!$C$160+MAX(0,B59*Assumptions!$C$163-Assumptions!$C$161)*Assumptions!$C$162)+Assumptions!$C$164*Assumptions!$C$165+B59*(Assumptions!$C$168+Assumptions!$C$169)</f>
        <v/>
      </c>
      <c r="L59" s="37">
        <f>C59*Tiers!$B$28</f>
        <v/>
      </c>
      <c r="M59" s="37">
        <f>G59+I59-J59-K59-L59</f>
        <v/>
      </c>
      <c r="N59" s="19">
        <f>IF(G59+I59&gt;0,M59/(G59+I59),0)</f>
        <v/>
      </c>
      <c r="O59" s="37">
        <f>O58+G59+I59</f>
        <v/>
      </c>
    </row>
    <row r="60">
      <c r="A60" s="15" t="n">
        <v>20</v>
      </c>
      <c r="B60" s="15">
        <f>MAX(Assumptions!$C$17,ROUND(Assumptions!$C$12*Assumptions!$C$14*(A60/24)^Assumptions!$C$16,0))</f>
        <v/>
      </c>
      <c r="C60" s="15">
        <f>MAX(0,B60-B59+ROUND(Assumptions!$C$18*B59,0))</f>
        <v/>
      </c>
      <c r="D60" s="37">
        <f>B60*Assumptions!$C$21</f>
        <v/>
      </c>
      <c r="E60" s="37">
        <f>B60*Tiers!$B$24</f>
        <v/>
      </c>
      <c r="F60" s="37">
        <f>B60*Tiers!$B$25</f>
        <v/>
      </c>
      <c r="G60" s="38">
        <f>D60+E60+F60</f>
        <v/>
      </c>
      <c r="H60" s="37">
        <f>G60*12</f>
        <v/>
      </c>
      <c r="I60" s="37">
        <f>C60*Tiers!$B$27</f>
        <v/>
      </c>
      <c r="J60" s="37">
        <f>B60*Tiers!$B$26</f>
        <v/>
      </c>
      <c r="K60" s="37">
        <f>IF(Assumptions!$C$155=1,(Assumptions!$C$135*Assumptions!$C$140+Hosting!$C$5*Assumptions!$C$140+MAX(0,ROUNDUP(B60/Assumptions!$C$141,0)-1)*Hosting!$C$5),IF(Assumptions!$C$155=2,(MAX(Assumptions!$C$145,ROUNDUP(B60/Assumptions!$C$146,0))*Assumptions!$C$144+B60*Hosting!$C$6),IF(B60&gt;=Assumptions!$C$156,(MAX(Assumptions!$C$145,ROUNDUP(B60/Assumptions!$C$146,0))*Assumptions!$C$144+B60*Hosting!$C$6),(Assumptions!$C$135*Assumptions!$C$140+Hosting!$C$5*Assumptions!$C$140+MAX(0,ROUNDUP(B60/Assumptions!$C$141,0)-1)*Hosting!$C$5))))+Assumptions!$C$159*(Assumptions!$C$160+MAX(0,B60*Assumptions!$C$163-Assumptions!$C$161)*Assumptions!$C$162)+Assumptions!$C$164*Assumptions!$C$165+B60*(Assumptions!$C$168+Assumptions!$C$169)</f>
        <v/>
      </c>
      <c r="L60" s="37">
        <f>C60*Tiers!$B$28</f>
        <v/>
      </c>
      <c r="M60" s="37">
        <f>G60+I60-J60-K60-L60</f>
        <v/>
      </c>
      <c r="N60" s="19">
        <f>IF(G60+I60&gt;0,M60/(G60+I60),0)</f>
        <v/>
      </c>
      <c r="O60" s="37">
        <f>O59+G60+I60</f>
        <v/>
      </c>
    </row>
    <row r="61">
      <c r="A61" s="15" t="n">
        <v>21</v>
      </c>
      <c r="B61" s="15">
        <f>MAX(Assumptions!$C$17,ROUND(Assumptions!$C$12*Assumptions!$C$14*(A61/24)^Assumptions!$C$16,0))</f>
        <v/>
      </c>
      <c r="C61" s="15">
        <f>MAX(0,B61-B60+ROUND(Assumptions!$C$18*B60,0))</f>
        <v/>
      </c>
      <c r="D61" s="37">
        <f>B61*Assumptions!$C$21</f>
        <v/>
      </c>
      <c r="E61" s="37">
        <f>B61*Tiers!$B$24</f>
        <v/>
      </c>
      <c r="F61" s="37">
        <f>B61*Tiers!$B$25</f>
        <v/>
      </c>
      <c r="G61" s="38">
        <f>D61+E61+F61</f>
        <v/>
      </c>
      <c r="H61" s="37">
        <f>G61*12</f>
        <v/>
      </c>
      <c r="I61" s="37">
        <f>C61*Tiers!$B$27</f>
        <v/>
      </c>
      <c r="J61" s="37">
        <f>B61*Tiers!$B$26</f>
        <v/>
      </c>
      <c r="K61" s="37">
        <f>IF(Assumptions!$C$155=1,(Assumptions!$C$135*Assumptions!$C$140+Hosting!$C$5*Assumptions!$C$140+MAX(0,ROUNDUP(B61/Assumptions!$C$141,0)-1)*Hosting!$C$5),IF(Assumptions!$C$155=2,(MAX(Assumptions!$C$145,ROUNDUP(B61/Assumptions!$C$146,0))*Assumptions!$C$144+B61*Hosting!$C$6),IF(B61&gt;=Assumptions!$C$156,(MAX(Assumptions!$C$145,ROUNDUP(B61/Assumptions!$C$146,0))*Assumptions!$C$144+B61*Hosting!$C$6),(Assumptions!$C$135*Assumptions!$C$140+Hosting!$C$5*Assumptions!$C$140+MAX(0,ROUNDUP(B61/Assumptions!$C$141,0)-1)*Hosting!$C$5))))+Assumptions!$C$159*(Assumptions!$C$160+MAX(0,B61*Assumptions!$C$163-Assumptions!$C$161)*Assumptions!$C$162)+Assumptions!$C$164*Assumptions!$C$165+B61*(Assumptions!$C$168+Assumptions!$C$169)</f>
        <v/>
      </c>
      <c r="L61" s="37">
        <f>C61*Tiers!$B$28</f>
        <v/>
      </c>
      <c r="M61" s="37">
        <f>G61+I61-J61-K61-L61</f>
        <v/>
      </c>
      <c r="N61" s="19">
        <f>IF(G61+I61&gt;0,M61/(G61+I61),0)</f>
        <v/>
      </c>
      <c r="O61" s="37">
        <f>O60+G61+I61</f>
        <v/>
      </c>
    </row>
    <row r="62">
      <c r="A62" s="15" t="n">
        <v>22</v>
      </c>
      <c r="B62" s="15">
        <f>MAX(Assumptions!$C$17,ROUND(Assumptions!$C$12*Assumptions!$C$14*(A62/24)^Assumptions!$C$16,0))</f>
        <v/>
      </c>
      <c r="C62" s="15">
        <f>MAX(0,B62-B61+ROUND(Assumptions!$C$18*B61,0))</f>
        <v/>
      </c>
      <c r="D62" s="37">
        <f>B62*Assumptions!$C$21</f>
        <v/>
      </c>
      <c r="E62" s="37">
        <f>B62*Tiers!$B$24</f>
        <v/>
      </c>
      <c r="F62" s="37">
        <f>B62*Tiers!$B$25</f>
        <v/>
      </c>
      <c r="G62" s="38">
        <f>D62+E62+F62</f>
        <v/>
      </c>
      <c r="H62" s="37">
        <f>G62*12</f>
        <v/>
      </c>
      <c r="I62" s="37">
        <f>C62*Tiers!$B$27</f>
        <v/>
      </c>
      <c r="J62" s="37">
        <f>B62*Tiers!$B$26</f>
        <v/>
      </c>
      <c r="K62" s="37">
        <f>IF(Assumptions!$C$155=1,(Assumptions!$C$135*Assumptions!$C$140+Hosting!$C$5*Assumptions!$C$140+MAX(0,ROUNDUP(B62/Assumptions!$C$141,0)-1)*Hosting!$C$5),IF(Assumptions!$C$155=2,(MAX(Assumptions!$C$145,ROUNDUP(B62/Assumptions!$C$146,0))*Assumptions!$C$144+B62*Hosting!$C$6),IF(B62&gt;=Assumptions!$C$156,(MAX(Assumptions!$C$145,ROUNDUP(B62/Assumptions!$C$146,0))*Assumptions!$C$144+B62*Hosting!$C$6),(Assumptions!$C$135*Assumptions!$C$140+Hosting!$C$5*Assumptions!$C$140+MAX(0,ROUNDUP(B62/Assumptions!$C$141,0)-1)*Hosting!$C$5))))+Assumptions!$C$159*(Assumptions!$C$160+MAX(0,B62*Assumptions!$C$163-Assumptions!$C$161)*Assumptions!$C$162)+Assumptions!$C$164*Assumptions!$C$165+B62*(Assumptions!$C$168+Assumptions!$C$169)</f>
        <v/>
      </c>
      <c r="L62" s="37">
        <f>C62*Tiers!$B$28</f>
        <v/>
      </c>
      <c r="M62" s="37">
        <f>G62+I62-J62-K62-L62</f>
        <v/>
      </c>
      <c r="N62" s="19">
        <f>IF(G62+I62&gt;0,M62/(G62+I62),0)</f>
        <v/>
      </c>
      <c r="O62" s="37">
        <f>O61+G62+I62</f>
        <v/>
      </c>
    </row>
    <row r="63">
      <c r="A63" s="15" t="n">
        <v>23</v>
      </c>
      <c r="B63" s="15">
        <f>MAX(Assumptions!$C$17,ROUND(Assumptions!$C$12*Assumptions!$C$14*(A63/24)^Assumptions!$C$16,0))</f>
        <v/>
      </c>
      <c r="C63" s="15">
        <f>MAX(0,B63-B62+ROUND(Assumptions!$C$18*B62,0))</f>
        <v/>
      </c>
      <c r="D63" s="37">
        <f>B63*Assumptions!$C$21</f>
        <v/>
      </c>
      <c r="E63" s="37">
        <f>B63*Tiers!$B$24</f>
        <v/>
      </c>
      <c r="F63" s="37">
        <f>B63*Tiers!$B$25</f>
        <v/>
      </c>
      <c r="G63" s="38">
        <f>D63+E63+F63</f>
        <v/>
      </c>
      <c r="H63" s="37">
        <f>G63*12</f>
        <v/>
      </c>
      <c r="I63" s="37">
        <f>C63*Tiers!$B$27</f>
        <v/>
      </c>
      <c r="J63" s="37">
        <f>B63*Tiers!$B$26</f>
        <v/>
      </c>
      <c r="K63" s="37">
        <f>IF(Assumptions!$C$155=1,(Assumptions!$C$135*Assumptions!$C$140+Hosting!$C$5*Assumptions!$C$140+MAX(0,ROUNDUP(B63/Assumptions!$C$141,0)-1)*Hosting!$C$5),IF(Assumptions!$C$155=2,(MAX(Assumptions!$C$145,ROUNDUP(B63/Assumptions!$C$146,0))*Assumptions!$C$144+B63*Hosting!$C$6),IF(B63&gt;=Assumptions!$C$156,(MAX(Assumptions!$C$145,ROUNDUP(B63/Assumptions!$C$146,0))*Assumptions!$C$144+B63*Hosting!$C$6),(Assumptions!$C$135*Assumptions!$C$140+Hosting!$C$5*Assumptions!$C$140+MAX(0,ROUNDUP(B63/Assumptions!$C$141,0)-1)*Hosting!$C$5))))+Assumptions!$C$159*(Assumptions!$C$160+MAX(0,B63*Assumptions!$C$163-Assumptions!$C$161)*Assumptions!$C$162)+Assumptions!$C$164*Assumptions!$C$165+B63*(Assumptions!$C$168+Assumptions!$C$169)</f>
        <v/>
      </c>
      <c r="L63" s="37">
        <f>C63*Tiers!$B$28</f>
        <v/>
      </c>
      <c r="M63" s="37">
        <f>G63+I63-J63-K63-L63</f>
        <v/>
      </c>
      <c r="N63" s="19">
        <f>IF(G63+I63&gt;0,M63/(G63+I63),0)</f>
        <v/>
      </c>
      <c r="O63" s="37">
        <f>O62+G63+I63</f>
        <v/>
      </c>
    </row>
    <row r="64">
      <c r="A64" s="15" t="n">
        <v>24</v>
      </c>
      <c r="B64" s="15">
        <f>MAX(Assumptions!$C$17,ROUND(Assumptions!$C$12*Assumptions!$C$14*(A64/24)^Assumptions!$C$16,0))</f>
        <v/>
      </c>
      <c r="C64" s="15">
        <f>MAX(0,B64-B63+ROUND(Assumptions!$C$18*B63,0))</f>
        <v/>
      </c>
      <c r="D64" s="37">
        <f>B64*Assumptions!$C$21</f>
        <v/>
      </c>
      <c r="E64" s="37">
        <f>B64*Tiers!$B$24</f>
        <v/>
      </c>
      <c r="F64" s="37">
        <f>B64*Tiers!$B$25</f>
        <v/>
      </c>
      <c r="G64" s="38">
        <f>D64+E64+F64</f>
        <v/>
      </c>
      <c r="H64" s="37">
        <f>G64*12</f>
        <v/>
      </c>
      <c r="I64" s="37">
        <f>C64*Tiers!$B$27</f>
        <v/>
      </c>
      <c r="J64" s="37">
        <f>B64*Tiers!$B$26</f>
        <v/>
      </c>
      <c r="K64" s="37">
        <f>IF(Assumptions!$C$155=1,(Assumptions!$C$135*Assumptions!$C$140+Hosting!$C$5*Assumptions!$C$140+MAX(0,ROUNDUP(B64/Assumptions!$C$141,0)-1)*Hosting!$C$5),IF(Assumptions!$C$155=2,(MAX(Assumptions!$C$145,ROUNDUP(B64/Assumptions!$C$146,0))*Assumptions!$C$144+B64*Hosting!$C$6),IF(B64&gt;=Assumptions!$C$156,(MAX(Assumptions!$C$145,ROUNDUP(B64/Assumptions!$C$146,0))*Assumptions!$C$144+B64*Hosting!$C$6),(Assumptions!$C$135*Assumptions!$C$140+Hosting!$C$5*Assumptions!$C$140+MAX(0,ROUNDUP(B64/Assumptions!$C$141,0)-1)*Hosting!$C$5))))+Assumptions!$C$159*(Assumptions!$C$160+MAX(0,B64*Assumptions!$C$163-Assumptions!$C$161)*Assumptions!$C$162)+Assumptions!$C$164*Assumptions!$C$165+B64*(Assumptions!$C$168+Assumptions!$C$169)</f>
        <v/>
      </c>
      <c r="L64" s="37">
        <f>C64*Tiers!$B$28</f>
        <v/>
      </c>
      <c r="M64" s="37">
        <f>G64+I64-J64-K64-L64</f>
        <v/>
      </c>
      <c r="N64" s="19">
        <f>IF(G64+I64&gt;0,M64/(G64+I64),0)</f>
        <v/>
      </c>
      <c r="O64" s="37">
        <f>O63+G64+I64</f>
        <v/>
      </c>
    </row>
    <row r="67">
      <c r="A67" s="5" t="inlineStr">
        <is>
          <t>High scenario</t>
        </is>
      </c>
      <c r="B67" s="6" t="n"/>
      <c r="C67" s="6" t="n"/>
      <c r="D67" s="6" t="n"/>
      <c r="E67" s="6" t="n"/>
      <c r="F67" s="6" t="n"/>
      <c r="G67" s="6" t="n"/>
      <c r="H67" s="6" t="n"/>
      <c r="I67" s="6" t="n"/>
      <c r="J67" s="6" t="n"/>
      <c r="K67" s="6" t="n"/>
      <c r="L67" s="6" t="n"/>
      <c r="M67" s="6" t="n"/>
      <c r="N67" s="6" t="n"/>
      <c r="O67" s="6" t="n"/>
    </row>
    <row r="68" ht="30" customHeight="1">
      <c r="A68" s="4" t="inlineStr">
        <is>
          <t>Month</t>
        </is>
      </c>
      <c r="B68" s="4" t="inlineStr">
        <is>
          <t>Active tenants</t>
        </is>
      </c>
      <c r="C68" s="4" t="inlineStr">
        <is>
          <t>New tenants</t>
        </is>
      </c>
      <c r="D68" s="4" t="inlineStr">
        <is>
          <t>Platform MRR</t>
        </is>
      </c>
      <c r="E68" s="4" t="inlineStr">
        <is>
          <t>Add-on MRR</t>
        </is>
      </c>
      <c r="F68" s="4" t="inlineStr">
        <is>
          <t>Overage and resale MRR</t>
        </is>
      </c>
      <c r="G68" s="4" t="inlineStr">
        <is>
          <t>Total MRR</t>
        </is>
      </c>
      <c r="H68" s="4" t="inlineStr">
        <is>
          <t>ARR run rate</t>
        </is>
      </c>
      <c r="I68" s="4" t="inlineStr">
        <is>
          <t>One-time fees</t>
        </is>
      </c>
      <c r="J68" s="4" t="inlineStr">
        <is>
          <t>Cost: usage</t>
        </is>
      </c>
      <c r="K68" s="4" t="inlineStr">
        <is>
          <t>Cost: hosting, sites and lead lines</t>
        </is>
      </c>
      <c r="L68" s="4" t="inlineStr">
        <is>
          <t>Cost: one-time</t>
        </is>
      </c>
      <c r="M68" s="4" t="inlineStr">
        <is>
          <t>Gross profit</t>
        </is>
      </c>
      <c r="N68" s="4" t="inlineStr">
        <is>
          <t>Gross margin</t>
        </is>
      </c>
      <c r="O68" s="4" t="inlineStr">
        <is>
          <t>Cumulative revenue</t>
        </is>
      </c>
    </row>
    <row r="69">
      <c r="A69" s="15" t="n">
        <v>1</v>
      </c>
      <c r="B69" s="15">
        <f>MAX(Assumptions!$C$17,ROUND(Assumptions!$C$12*Assumptions!$C$15*(A69/24)^Assumptions!$C$16,0))</f>
        <v/>
      </c>
      <c r="C69" s="15">
        <f>MAX(0,B69-Assumptions!$C$17+ROUND(Assumptions!$C$18*Assumptions!$C$17,0))</f>
        <v/>
      </c>
      <c r="D69" s="37">
        <f>B69*Assumptions!$C$21</f>
        <v/>
      </c>
      <c r="E69" s="37">
        <f>B69*Tiers!$B$24</f>
        <v/>
      </c>
      <c r="F69" s="37">
        <f>B69*Tiers!$B$25</f>
        <v/>
      </c>
      <c r="G69" s="38">
        <f>D69+E69+F69</f>
        <v/>
      </c>
      <c r="H69" s="37">
        <f>G69*12</f>
        <v/>
      </c>
      <c r="I69" s="37">
        <f>C69*Tiers!$B$27</f>
        <v/>
      </c>
      <c r="J69" s="37">
        <f>B69*Tiers!$B$26</f>
        <v/>
      </c>
      <c r="K69" s="37">
        <f>IF(Assumptions!$C$155=1,(Assumptions!$C$135*Assumptions!$C$140+Hosting!$C$5*Assumptions!$C$140+MAX(0,ROUNDUP(B69/Assumptions!$C$141,0)-1)*Hosting!$C$5),IF(Assumptions!$C$155=2,(MAX(Assumptions!$C$145,ROUNDUP(B69/Assumptions!$C$146,0))*Assumptions!$C$144+B69*Hosting!$C$6),IF(B69&gt;=Assumptions!$C$156,(MAX(Assumptions!$C$145,ROUNDUP(B69/Assumptions!$C$146,0))*Assumptions!$C$144+B69*Hosting!$C$6),(Assumptions!$C$135*Assumptions!$C$140+Hosting!$C$5*Assumptions!$C$140+MAX(0,ROUNDUP(B69/Assumptions!$C$141,0)-1)*Hosting!$C$5))))+Assumptions!$C$159*(Assumptions!$C$160+MAX(0,B69*Assumptions!$C$163-Assumptions!$C$161)*Assumptions!$C$162)+Assumptions!$C$164*Assumptions!$C$165+B69*(Assumptions!$C$168+Assumptions!$C$169)</f>
        <v/>
      </c>
      <c r="L69" s="37">
        <f>C69*Tiers!$B$28</f>
        <v/>
      </c>
      <c r="M69" s="37">
        <f>G69+I69-J69-K69-L69</f>
        <v/>
      </c>
      <c r="N69" s="19">
        <f>IF(G69+I69&gt;0,M69/(G69+I69),0)</f>
        <v/>
      </c>
      <c r="O69" s="37">
        <f>G69+I69</f>
        <v/>
      </c>
    </row>
    <row r="70">
      <c r="A70" s="15" t="n">
        <v>2</v>
      </c>
      <c r="B70" s="15">
        <f>MAX(Assumptions!$C$17,ROUND(Assumptions!$C$12*Assumptions!$C$15*(A70/24)^Assumptions!$C$16,0))</f>
        <v/>
      </c>
      <c r="C70" s="15">
        <f>MAX(0,B70-B69+ROUND(Assumptions!$C$18*B69,0))</f>
        <v/>
      </c>
      <c r="D70" s="37">
        <f>B70*Assumptions!$C$21</f>
        <v/>
      </c>
      <c r="E70" s="37">
        <f>B70*Tiers!$B$24</f>
        <v/>
      </c>
      <c r="F70" s="37">
        <f>B70*Tiers!$B$25</f>
        <v/>
      </c>
      <c r="G70" s="38">
        <f>D70+E70+F70</f>
        <v/>
      </c>
      <c r="H70" s="37">
        <f>G70*12</f>
        <v/>
      </c>
      <c r="I70" s="37">
        <f>C70*Tiers!$B$27</f>
        <v/>
      </c>
      <c r="J70" s="37">
        <f>B70*Tiers!$B$26</f>
        <v/>
      </c>
      <c r="K70" s="37">
        <f>IF(Assumptions!$C$155=1,(Assumptions!$C$135*Assumptions!$C$140+Hosting!$C$5*Assumptions!$C$140+MAX(0,ROUNDUP(B70/Assumptions!$C$141,0)-1)*Hosting!$C$5),IF(Assumptions!$C$155=2,(MAX(Assumptions!$C$145,ROUNDUP(B70/Assumptions!$C$146,0))*Assumptions!$C$144+B70*Hosting!$C$6),IF(B70&gt;=Assumptions!$C$156,(MAX(Assumptions!$C$145,ROUNDUP(B70/Assumptions!$C$146,0))*Assumptions!$C$144+B70*Hosting!$C$6),(Assumptions!$C$135*Assumptions!$C$140+Hosting!$C$5*Assumptions!$C$140+MAX(0,ROUNDUP(B70/Assumptions!$C$141,0)-1)*Hosting!$C$5))))+Assumptions!$C$159*(Assumptions!$C$160+MAX(0,B70*Assumptions!$C$163-Assumptions!$C$161)*Assumptions!$C$162)+Assumptions!$C$164*Assumptions!$C$165+B70*(Assumptions!$C$168+Assumptions!$C$169)</f>
        <v/>
      </c>
      <c r="L70" s="37">
        <f>C70*Tiers!$B$28</f>
        <v/>
      </c>
      <c r="M70" s="37">
        <f>G70+I70-J70-K70-L70</f>
        <v/>
      </c>
      <c r="N70" s="19">
        <f>IF(G70+I70&gt;0,M70/(G70+I70),0)</f>
        <v/>
      </c>
      <c r="O70" s="37">
        <f>O69+G70+I70</f>
        <v/>
      </c>
    </row>
    <row r="71">
      <c r="A71" s="15" t="n">
        <v>3</v>
      </c>
      <c r="B71" s="15">
        <f>MAX(Assumptions!$C$17,ROUND(Assumptions!$C$12*Assumptions!$C$15*(A71/24)^Assumptions!$C$16,0))</f>
        <v/>
      </c>
      <c r="C71" s="15">
        <f>MAX(0,B71-B70+ROUND(Assumptions!$C$18*B70,0))</f>
        <v/>
      </c>
      <c r="D71" s="37">
        <f>B71*Assumptions!$C$21</f>
        <v/>
      </c>
      <c r="E71" s="37">
        <f>B71*Tiers!$B$24</f>
        <v/>
      </c>
      <c r="F71" s="37">
        <f>B71*Tiers!$B$25</f>
        <v/>
      </c>
      <c r="G71" s="38">
        <f>D71+E71+F71</f>
        <v/>
      </c>
      <c r="H71" s="37">
        <f>G71*12</f>
        <v/>
      </c>
      <c r="I71" s="37">
        <f>C71*Tiers!$B$27</f>
        <v/>
      </c>
      <c r="J71" s="37">
        <f>B71*Tiers!$B$26</f>
        <v/>
      </c>
      <c r="K71" s="37">
        <f>IF(Assumptions!$C$155=1,(Assumptions!$C$135*Assumptions!$C$140+Hosting!$C$5*Assumptions!$C$140+MAX(0,ROUNDUP(B71/Assumptions!$C$141,0)-1)*Hosting!$C$5),IF(Assumptions!$C$155=2,(MAX(Assumptions!$C$145,ROUNDUP(B71/Assumptions!$C$146,0))*Assumptions!$C$144+B71*Hosting!$C$6),IF(B71&gt;=Assumptions!$C$156,(MAX(Assumptions!$C$145,ROUNDUP(B71/Assumptions!$C$146,0))*Assumptions!$C$144+B71*Hosting!$C$6),(Assumptions!$C$135*Assumptions!$C$140+Hosting!$C$5*Assumptions!$C$140+MAX(0,ROUNDUP(B71/Assumptions!$C$141,0)-1)*Hosting!$C$5))))+Assumptions!$C$159*(Assumptions!$C$160+MAX(0,B71*Assumptions!$C$163-Assumptions!$C$161)*Assumptions!$C$162)+Assumptions!$C$164*Assumptions!$C$165+B71*(Assumptions!$C$168+Assumptions!$C$169)</f>
        <v/>
      </c>
      <c r="L71" s="37">
        <f>C71*Tiers!$B$28</f>
        <v/>
      </c>
      <c r="M71" s="37">
        <f>G71+I71-J71-K71-L71</f>
        <v/>
      </c>
      <c r="N71" s="19">
        <f>IF(G71+I71&gt;0,M71/(G71+I71),0)</f>
        <v/>
      </c>
      <c r="O71" s="37">
        <f>O70+G71+I71</f>
        <v/>
      </c>
    </row>
    <row r="72">
      <c r="A72" s="15" t="n">
        <v>4</v>
      </c>
      <c r="B72" s="15">
        <f>MAX(Assumptions!$C$17,ROUND(Assumptions!$C$12*Assumptions!$C$15*(A72/24)^Assumptions!$C$16,0))</f>
        <v/>
      </c>
      <c r="C72" s="15">
        <f>MAX(0,B72-B71+ROUND(Assumptions!$C$18*B71,0))</f>
        <v/>
      </c>
      <c r="D72" s="37">
        <f>B72*Assumptions!$C$21</f>
        <v/>
      </c>
      <c r="E72" s="37">
        <f>B72*Tiers!$B$24</f>
        <v/>
      </c>
      <c r="F72" s="37">
        <f>B72*Tiers!$B$25</f>
        <v/>
      </c>
      <c r="G72" s="38">
        <f>D72+E72+F72</f>
        <v/>
      </c>
      <c r="H72" s="37">
        <f>G72*12</f>
        <v/>
      </c>
      <c r="I72" s="37">
        <f>C72*Tiers!$B$27</f>
        <v/>
      </c>
      <c r="J72" s="37">
        <f>B72*Tiers!$B$26</f>
        <v/>
      </c>
      <c r="K72" s="37">
        <f>IF(Assumptions!$C$155=1,(Assumptions!$C$135*Assumptions!$C$140+Hosting!$C$5*Assumptions!$C$140+MAX(0,ROUNDUP(B72/Assumptions!$C$141,0)-1)*Hosting!$C$5),IF(Assumptions!$C$155=2,(MAX(Assumptions!$C$145,ROUNDUP(B72/Assumptions!$C$146,0))*Assumptions!$C$144+B72*Hosting!$C$6),IF(B72&gt;=Assumptions!$C$156,(MAX(Assumptions!$C$145,ROUNDUP(B72/Assumptions!$C$146,0))*Assumptions!$C$144+B72*Hosting!$C$6),(Assumptions!$C$135*Assumptions!$C$140+Hosting!$C$5*Assumptions!$C$140+MAX(0,ROUNDUP(B72/Assumptions!$C$141,0)-1)*Hosting!$C$5))))+Assumptions!$C$159*(Assumptions!$C$160+MAX(0,B72*Assumptions!$C$163-Assumptions!$C$161)*Assumptions!$C$162)+Assumptions!$C$164*Assumptions!$C$165+B72*(Assumptions!$C$168+Assumptions!$C$169)</f>
        <v/>
      </c>
      <c r="L72" s="37">
        <f>C72*Tiers!$B$28</f>
        <v/>
      </c>
      <c r="M72" s="37">
        <f>G72+I72-J72-K72-L72</f>
        <v/>
      </c>
      <c r="N72" s="19">
        <f>IF(G72+I72&gt;0,M72/(G72+I72),0)</f>
        <v/>
      </c>
      <c r="O72" s="37">
        <f>O71+G72+I72</f>
        <v/>
      </c>
    </row>
    <row r="73">
      <c r="A73" s="15" t="n">
        <v>5</v>
      </c>
      <c r="B73" s="15">
        <f>MAX(Assumptions!$C$17,ROUND(Assumptions!$C$12*Assumptions!$C$15*(A73/24)^Assumptions!$C$16,0))</f>
        <v/>
      </c>
      <c r="C73" s="15">
        <f>MAX(0,B73-B72+ROUND(Assumptions!$C$18*B72,0))</f>
        <v/>
      </c>
      <c r="D73" s="37">
        <f>B73*Assumptions!$C$21</f>
        <v/>
      </c>
      <c r="E73" s="37">
        <f>B73*Tiers!$B$24</f>
        <v/>
      </c>
      <c r="F73" s="37">
        <f>B73*Tiers!$B$25</f>
        <v/>
      </c>
      <c r="G73" s="38">
        <f>D73+E73+F73</f>
        <v/>
      </c>
      <c r="H73" s="37">
        <f>G73*12</f>
        <v/>
      </c>
      <c r="I73" s="37">
        <f>C73*Tiers!$B$27</f>
        <v/>
      </c>
      <c r="J73" s="37">
        <f>B73*Tiers!$B$26</f>
        <v/>
      </c>
      <c r="K73" s="37">
        <f>IF(Assumptions!$C$155=1,(Assumptions!$C$135*Assumptions!$C$140+Hosting!$C$5*Assumptions!$C$140+MAX(0,ROUNDUP(B73/Assumptions!$C$141,0)-1)*Hosting!$C$5),IF(Assumptions!$C$155=2,(MAX(Assumptions!$C$145,ROUNDUP(B73/Assumptions!$C$146,0))*Assumptions!$C$144+B73*Hosting!$C$6),IF(B73&gt;=Assumptions!$C$156,(MAX(Assumptions!$C$145,ROUNDUP(B73/Assumptions!$C$146,0))*Assumptions!$C$144+B73*Hosting!$C$6),(Assumptions!$C$135*Assumptions!$C$140+Hosting!$C$5*Assumptions!$C$140+MAX(0,ROUNDUP(B73/Assumptions!$C$141,0)-1)*Hosting!$C$5))))+Assumptions!$C$159*(Assumptions!$C$160+MAX(0,B73*Assumptions!$C$163-Assumptions!$C$161)*Assumptions!$C$162)+Assumptions!$C$164*Assumptions!$C$165+B73*(Assumptions!$C$168+Assumptions!$C$169)</f>
        <v/>
      </c>
      <c r="L73" s="37">
        <f>C73*Tiers!$B$28</f>
        <v/>
      </c>
      <c r="M73" s="37">
        <f>G73+I73-J73-K73-L73</f>
        <v/>
      </c>
      <c r="N73" s="19">
        <f>IF(G73+I73&gt;0,M73/(G73+I73),0)</f>
        <v/>
      </c>
      <c r="O73" s="37">
        <f>O72+G73+I73</f>
        <v/>
      </c>
    </row>
    <row r="74">
      <c r="A74" s="15" t="n">
        <v>6</v>
      </c>
      <c r="B74" s="15">
        <f>MAX(Assumptions!$C$17,ROUND(Assumptions!$C$12*Assumptions!$C$15*(A74/24)^Assumptions!$C$16,0))</f>
        <v/>
      </c>
      <c r="C74" s="15">
        <f>MAX(0,B74-B73+ROUND(Assumptions!$C$18*B73,0))</f>
        <v/>
      </c>
      <c r="D74" s="37">
        <f>B74*Assumptions!$C$21</f>
        <v/>
      </c>
      <c r="E74" s="37">
        <f>B74*Tiers!$B$24</f>
        <v/>
      </c>
      <c r="F74" s="37">
        <f>B74*Tiers!$B$25</f>
        <v/>
      </c>
      <c r="G74" s="38">
        <f>D74+E74+F74</f>
        <v/>
      </c>
      <c r="H74" s="37">
        <f>G74*12</f>
        <v/>
      </c>
      <c r="I74" s="37">
        <f>C74*Tiers!$B$27</f>
        <v/>
      </c>
      <c r="J74" s="37">
        <f>B74*Tiers!$B$26</f>
        <v/>
      </c>
      <c r="K74" s="37">
        <f>IF(Assumptions!$C$155=1,(Assumptions!$C$135*Assumptions!$C$140+Hosting!$C$5*Assumptions!$C$140+MAX(0,ROUNDUP(B74/Assumptions!$C$141,0)-1)*Hosting!$C$5),IF(Assumptions!$C$155=2,(MAX(Assumptions!$C$145,ROUNDUP(B74/Assumptions!$C$146,0))*Assumptions!$C$144+B74*Hosting!$C$6),IF(B74&gt;=Assumptions!$C$156,(MAX(Assumptions!$C$145,ROUNDUP(B74/Assumptions!$C$146,0))*Assumptions!$C$144+B74*Hosting!$C$6),(Assumptions!$C$135*Assumptions!$C$140+Hosting!$C$5*Assumptions!$C$140+MAX(0,ROUNDUP(B74/Assumptions!$C$141,0)-1)*Hosting!$C$5))))+Assumptions!$C$159*(Assumptions!$C$160+MAX(0,B74*Assumptions!$C$163-Assumptions!$C$161)*Assumptions!$C$162)+Assumptions!$C$164*Assumptions!$C$165+B74*(Assumptions!$C$168+Assumptions!$C$169)</f>
        <v/>
      </c>
      <c r="L74" s="37">
        <f>C74*Tiers!$B$28</f>
        <v/>
      </c>
      <c r="M74" s="37">
        <f>G74+I74-J74-K74-L74</f>
        <v/>
      </c>
      <c r="N74" s="19">
        <f>IF(G74+I74&gt;0,M74/(G74+I74),0)</f>
        <v/>
      </c>
      <c r="O74" s="37">
        <f>O73+G74+I74</f>
        <v/>
      </c>
    </row>
    <row r="75">
      <c r="A75" s="15" t="n">
        <v>7</v>
      </c>
      <c r="B75" s="15">
        <f>MAX(Assumptions!$C$17,ROUND(Assumptions!$C$12*Assumptions!$C$15*(A75/24)^Assumptions!$C$16,0))</f>
        <v/>
      </c>
      <c r="C75" s="15">
        <f>MAX(0,B75-B74+ROUND(Assumptions!$C$18*B74,0))</f>
        <v/>
      </c>
      <c r="D75" s="37">
        <f>B75*Assumptions!$C$21</f>
        <v/>
      </c>
      <c r="E75" s="37">
        <f>B75*Tiers!$B$24</f>
        <v/>
      </c>
      <c r="F75" s="37">
        <f>B75*Tiers!$B$25</f>
        <v/>
      </c>
      <c r="G75" s="38">
        <f>D75+E75+F75</f>
        <v/>
      </c>
      <c r="H75" s="37">
        <f>G75*12</f>
        <v/>
      </c>
      <c r="I75" s="37">
        <f>C75*Tiers!$B$27</f>
        <v/>
      </c>
      <c r="J75" s="37">
        <f>B75*Tiers!$B$26</f>
        <v/>
      </c>
      <c r="K75" s="37">
        <f>IF(Assumptions!$C$155=1,(Assumptions!$C$135*Assumptions!$C$140+Hosting!$C$5*Assumptions!$C$140+MAX(0,ROUNDUP(B75/Assumptions!$C$141,0)-1)*Hosting!$C$5),IF(Assumptions!$C$155=2,(MAX(Assumptions!$C$145,ROUNDUP(B75/Assumptions!$C$146,0))*Assumptions!$C$144+B75*Hosting!$C$6),IF(B75&gt;=Assumptions!$C$156,(MAX(Assumptions!$C$145,ROUNDUP(B75/Assumptions!$C$146,0))*Assumptions!$C$144+B75*Hosting!$C$6),(Assumptions!$C$135*Assumptions!$C$140+Hosting!$C$5*Assumptions!$C$140+MAX(0,ROUNDUP(B75/Assumptions!$C$141,0)-1)*Hosting!$C$5))))+Assumptions!$C$159*(Assumptions!$C$160+MAX(0,B75*Assumptions!$C$163-Assumptions!$C$161)*Assumptions!$C$162)+Assumptions!$C$164*Assumptions!$C$165+B75*(Assumptions!$C$168+Assumptions!$C$169)</f>
        <v/>
      </c>
      <c r="L75" s="37">
        <f>C75*Tiers!$B$28</f>
        <v/>
      </c>
      <c r="M75" s="37">
        <f>G75+I75-J75-K75-L75</f>
        <v/>
      </c>
      <c r="N75" s="19">
        <f>IF(G75+I75&gt;0,M75/(G75+I75),0)</f>
        <v/>
      </c>
      <c r="O75" s="37">
        <f>O74+G75+I75</f>
        <v/>
      </c>
    </row>
    <row r="76">
      <c r="A76" s="15" t="n">
        <v>8</v>
      </c>
      <c r="B76" s="15">
        <f>MAX(Assumptions!$C$17,ROUND(Assumptions!$C$12*Assumptions!$C$15*(A76/24)^Assumptions!$C$16,0))</f>
        <v/>
      </c>
      <c r="C76" s="15">
        <f>MAX(0,B76-B75+ROUND(Assumptions!$C$18*B75,0))</f>
        <v/>
      </c>
      <c r="D76" s="37">
        <f>B76*Assumptions!$C$21</f>
        <v/>
      </c>
      <c r="E76" s="37">
        <f>B76*Tiers!$B$24</f>
        <v/>
      </c>
      <c r="F76" s="37">
        <f>B76*Tiers!$B$25</f>
        <v/>
      </c>
      <c r="G76" s="38">
        <f>D76+E76+F76</f>
        <v/>
      </c>
      <c r="H76" s="37">
        <f>G76*12</f>
        <v/>
      </c>
      <c r="I76" s="37">
        <f>C76*Tiers!$B$27</f>
        <v/>
      </c>
      <c r="J76" s="37">
        <f>B76*Tiers!$B$26</f>
        <v/>
      </c>
      <c r="K76" s="37">
        <f>IF(Assumptions!$C$155=1,(Assumptions!$C$135*Assumptions!$C$140+Hosting!$C$5*Assumptions!$C$140+MAX(0,ROUNDUP(B76/Assumptions!$C$141,0)-1)*Hosting!$C$5),IF(Assumptions!$C$155=2,(MAX(Assumptions!$C$145,ROUNDUP(B76/Assumptions!$C$146,0))*Assumptions!$C$144+B76*Hosting!$C$6),IF(B76&gt;=Assumptions!$C$156,(MAX(Assumptions!$C$145,ROUNDUP(B76/Assumptions!$C$146,0))*Assumptions!$C$144+B76*Hosting!$C$6),(Assumptions!$C$135*Assumptions!$C$140+Hosting!$C$5*Assumptions!$C$140+MAX(0,ROUNDUP(B76/Assumptions!$C$141,0)-1)*Hosting!$C$5))))+Assumptions!$C$159*(Assumptions!$C$160+MAX(0,B76*Assumptions!$C$163-Assumptions!$C$161)*Assumptions!$C$162)+Assumptions!$C$164*Assumptions!$C$165+B76*(Assumptions!$C$168+Assumptions!$C$169)</f>
        <v/>
      </c>
      <c r="L76" s="37">
        <f>C76*Tiers!$B$28</f>
        <v/>
      </c>
      <c r="M76" s="37">
        <f>G76+I76-J76-K76-L76</f>
        <v/>
      </c>
      <c r="N76" s="19">
        <f>IF(G76+I76&gt;0,M76/(G76+I76),0)</f>
        <v/>
      </c>
      <c r="O76" s="37">
        <f>O75+G76+I76</f>
        <v/>
      </c>
    </row>
    <row r="77">
      <c r="A77" s="15" t="n">
        <v>9</v>
      </c>
      <c r="B77" s="15">
        <f>MAX(Assumptions!$C$17,ROUND(Assumptions!$C$12*Assumptions!$C$15*(A77/24)^Assumptions!$C$16,0))</f>
        <v/>
      </c>
      <c r="C77" s="15">
        <f>MAX(0,B77-B76+ROUND(Assumptions!$C$18*B76,0))</f>
        <v/>
      </c>
      <c r="D77" s="37">
        <f>B77*Assumptions!$C$21</f>
        <v/>
      </c>
      <c r="E77" s="37">
        <f>B77*Tiers!$B$24</f>
        <v/>
      </c>
      <c r="F77" s="37">
        <f>B77*Tiers!$B$25</f>
        <v/>
      </c>
      <c r="G77" s="38">
        <f>D77+E77+F77</f>
        <v/>
      </c>
      <c r="H77" s="37">
        <f>G77*12</f>
        <v/>
      </c>
      <c r="I77" s="37">
        <f>C77*Tiers!$B$27</f>
        <v/>
      </c>
      <c r="J77" s="37">
        <f>B77*Tiers!$B$26</f>
        <v/>
      </c>
      <c r="K77" s="37">
        <f>IF(Assumptions!$C$155=1,(Assumptions!$C$135*Assumptions!$C$140+Hosting!$C$5*Assumptions!$C$140+MAX(0,ROUNDUP(B77/Assumptions!$C$141,0)-1)*Hosting!$C$5),IF(Assumptions!$C$155=2,(MAX(Assumptions!$C$145,ROUNDUP(B77/Assumptions!$C$146,0))*Assumptions!$C$144+B77*Hosting!$C$6),IF(B77&gt;=Assumptions!$C$156,(MAX(Assumptions!$C$145,ROUNDUP(B77/Assumptions!$C$146,0))*Assumptions!$C$144+B77*Hosting!$C$6),(Assumptions!$C$135*Assumptions!$C$140+Hosting!$C$5*Assumptions!$C$140+MAX(0,ROUNDUP(B77/Assumptions!$C$141,0)-1)*Hosting!$C$5))))+Assumptions!$C$159*(Assumptions!$C$160+MAX(0,B77*Assumptions!$C$163-Assumptions!$C$161)*Assumptions!$C$162)+Assumptions!$C$164*Assumptions!$C$165+B77*(Assumptions!$C$168+Assumptions!$C$169)</f>
        <v/>
      </c>
      <c r="L77" s="37">
        <f>C77*Tiers!$B$28</f>
        <v/>
      </c>
      <c r="M77" s="37">
        <f>G77+I77-J77-K77-L77</f>
        <v/>
      </c>
      <c r="N77" s="19">
        <f>IF(G77+I77&gt;0,M77/(G77+I77),0)</f>
        <v/>
      </c>
      <c r="O77" s="37">
        <f>O76+G77+I77</f>
        <v/>
      </c>
    </row>
    <row r="78">
      <c r="A78" s="15" t="n">
        <v>10</v>
      </c>
      <c r="B78" s="15">
        <f>MAX(Assumptions!$C$17,ROUND(Assumptions!$C$12*Assumptions!$C$15*(A78/24)^Assumptions!$C$16,0))</f>
        <v/>
      </c>
      <c r="C78" s="15">
        <f>MAX(0,B78-B77+ROUND(Assumptions!$C$18*B77,0))</f>
        <v/>
      </c>
      <c r="D78" s="37">
        <f>B78*Assumptions!$C$21</f>
        <v/>
      </c>
      <c r="E78" s="37">
        <f>B78*Tiers!$B$24</f>
        <v/>
      </c>
      <c r="F78" s="37">
        <f>B78*Tiers!$B$25</f>
        <v/>
      </c>
      <c r="G78" s="38">
        <f>D78+E78+F78</f>
        <v/>
      </c>
      <c r="H78" s="37">
        <f>G78*12</f>
        <v/>
      </c>
      <c r="I78" s="37">
        <f>C78*Tiers!$B$27</f>
        <v/>
      </c>
      <c r="J78" s="37">
        <f>B78*Tiers!$B$26</f>
        <v/>
      </c>
      <c r="K78" s="37">
        <f>IF(Assumptions!$C$155=1,(Assumptions!$C$135*Assumptions!$C$140+Hosting!$C$5*Assumptions!$C$140+MAX(0,ROUNDUP(B78/Assumptions!$C$141,0)-1)*Hosting!$C$5),IF(Assumptions!$C$155=2,(MAX(Assumptions!$C$145,ROUNDUP(B78/Assumptions!$C$146,0))*Assumptions!$C$144+B78*Hosting!$C$6),IF(B78&gt;=Assumptions!$C$156,(MAX(Assumptions!$C$145,ROUNDUP(B78/Assumptions!$C$146,0))*Assumptions!$C$144+B78*Hosting!$C$6),(Assumptions!$C$135*Assumptions!$C$140+Hosting!$C$5*Assumptions!$C$140+MAX(0,ROUNDUP(B78/Assumptions!$C$141,0)-1)*Hosting!$C$5))))+Assumptions!$C$159*(Assumptions!$C$160+MAX(0,B78*Assumptions!$C$163-Assumptions!$C$161)*Assumptions!$C$162)+Assumptions!$C$164*Assumptions!$C$165+B78*(Assumptions!$C$168+Assumptions!$C$169)</f>
        <v/>
      </c>
      <c r="L78" s="37">
        <f>C78*Tiers!$B$28</f>
        <v/>
      </c>
      <c r="M78" s="37">
        <f>G78+I78-J78-K78-L78</f>
        <v/>
      </c>
      <c r="N78" s="19">
        <f>IF(G78+I78&gt;0,M78/(G78+I78),0)</f>
        <v/>
      </c>
      <c r="O78" s="37">
        <f>O77+G78+I78</f>
        <v/>
      </c>
    </row>
    <row r="79">
      <c r="A79" s="15" t="n">
        <v>11</v>
      </c>
      <c r="B79" s="15">
        <f>MAX(Assumptions!$C$17,ROUND(Assumptions!$C$12*Assumptions!$C$15*(A79/24)^Assumptions!$C$16,0))</f>
        <v/>
      </c>
      <c r="C79" s="15">
        <f>MAX(0,B79-B78+ROUND(Assumptions!$C$18*B78,0))</f>
        <v/>
      </c>
      <c r="D79" s="37">
        <f>B79*Assumptions!$C$21</f>
        <v/>
      </c>
      <c r="E79" s="37">
        <f>B79*Tiers!$B$24</f>
        <v/>
      </c>
      <c r="F79" s="37">
        <f>B79*Tiers!$B$25</f>
        <v/>
      </c>
      <c r="G79" s="38">
        <f>D79+E79+F79</f>
        <v/>
      </c>
      <c r="H79" s="37">
        <f>G79*12</f>
        <v/>
      </c>
      <c r="I79" s="37">
        <f>C79*Tiers!$B$27</f>
        <v/>
      </c>
      <c r="J79" s="37">
        <f>B79*Tiers!$B$26</f>
        <v/>
      </c>
      <c r="K79" s="37">
        <f>IF(Assumptions!$C$155=1,(Assumptions!$C$135*Assumptions!$C$140+Hosting!$C$5*Assumptions!$C$140+MAX(0,ROUNDUP(B79/Assumptions!$C$141,0)-1)*Hosting!$C$5),IF(Assumptions!$C$155=2,(MAX(Assumptions!$C$145,ROUNDUP(B79/Assumptions!$C$146,0))*Assumptions!$C$144+B79*Hosting!$C$6),IF(B79&gt;=Assumptions!$C$156,(MAX(Assumptions!$C$145,ROUNDUP(B79/Assumptions!$C$146,0))*Assumptions!$C$144+B79*Hosting!$C$6),(Assumptions!$C$135*Assumptions!$C$140+Hosting!$C$5*Assumptions!$C$140+MAX(0,ROUNDUP(B79/Assumptions!$C$141,0)-1)*Hosting!$C$5))))+Assumptions!$C$159*(Assumptions!$C$160+MAX(0,B79*Assumptions!$C$163-Assumptions!$C$161)*Assumptions!$C$162)+Assumptions!$C$164*Assumptions!$C$165+B79*(Assumptions!$C$168+Assumptions!$C$169)</f>
        <v/>
      </c>
      <c r="L79" s="37">
        <f>C79*Tiers!$B$28</f>
        <v/>
      </c>
      <c r="M79" s="37">
        <f>G79+I79-J79-K79-L79</f>
        <v/>
      </c>
      <c r="N79" s="19">
        <f>IF(G79+I79&gt;0,M79/(G79+I79),0)</f>
        <v/>
      </c>
      <c r="O79" s="37">
        <f>O78+G79+I79</f>
        <v/>
      </c>
    </row>
    <row r="80">
      <c r="A80" s="15" t="n">
        <v>12</v>
      </c>
      <c r="B80" s="15">
        <f>MAX(Assumptions!$C$17,ROUND(Assumptions!$C$12*Assumptions!$C$15*(A80/24)^Assumptions!$C$16,0))</f>
        <v/>
      </c>
      <c r="C80" s="15">
        <f>MAX(0,B80-B79+ROUND(Assumptions!$C$18*B79,0))</f>
        <v/>
      </c>
      <c r="D80" s="37">
        <f>B80*Assumptions!$C$21</f>
        <v/>
      </c>
      <c r="E80" s="37">
        <f>B80*Tiers!$B$24</f>
        <v/>
      </c>
      <c r="F80" s="37">
        <f>B80*Tiers!$B$25</f>
        <v/>
      </c>
      <c r="G80" s="38">
        <f>D80+E80+F80</f>
        <v/>
      </c>
      <c r="H80" s="37">
        <f>G80*12</f>
        <v/>
      </c>
      <c r="I80" s="37">
        <f>C80*Tiers!$B$27</f>
        <v/>
      </c>
      <c r="J80" s="37">
        <f>B80*Tiers!$B$26</f>
        <v/>
      </c>
      <c r="K80" s="37">
        <f>IF(Assumptions!$C$155=1,(Assumptions!$C$135*Assumptions!$C$140+Hosting!$C$5*Assumptions!$C$140+MAX(0,ROUNDUP(B80/Assumptions!$C$141,0)-1)*Hosting!$C$5),IF(Assumptions!$C$155=2,(MAX(Assumptions!$C$145,ROUNDUP(B80/Assumptions!$C$146,0))*Assumptions!$C$144+B80*Hosting!$C$6),IF(B80&gt;=Assumptions!$C$156,(MAX(Assumptions!$C$145,ROUNDUP(B80/Assumptions!$C$146,0))*Assumptions!$C$144+B80*Hosting!$C$6),(Assumptions!$C$135*Assumptions!$C$140+Hosting!$C$5*Assumptions!$C$140+MAX(0,ROUNDUP(B80/Assumptions!$C$141,0)-1)*Hosting!$C$5))))+Assumptions!$C$159*(Assumptions!$C$160+MAX(0,B80*Assumptions!$C$163-Assumptions!$C$161)*Assumptions!$C$162)+Assumptions!$C$164*Assumptions!$C$165+B80*(Assumptions!$C$168+Assumptions!$C$169)</f>
        <v/>
      </c>
      <c r="L80" s="37">
        <f>C80*Tiers!$B$28</f>
        <v/>
      </c>
      <c r="M80" s="37">
        <f>G80+I80-J80-K80-L80</f>
        <v/>
      </c>
      <c r="N80" s="19">
        <f>IF(G80+I80&gt;0,M80/(G80+I80),0)</f>
        <v/>
      </c>
      <c r="O80" s="37">
        <f>O79+G80+I80</f>
        <v/>
      </c>
    </row>
    <row r="81">
      <c r="A81" s="15" t="n">
        <v>13</v>
      </c>
      <c r="B81" s="15">
        <f>MAX(Assumptions!$C$17,ROUND(Assumptions!$C$12*Assumptions!$C$15*(A81/24)^Assumptions!$C$16,0))</f>
        <v/>
      </c>
      <c r="C81" s="15">
        <f>MAX(0,B81-B80+ROUND(Assumptions!$C$18*B80,0))</f>
        <v/>
      </c>
      <c r="D81" s="37">
        <f>B81*Assumptions!$C$21</f>
        <v/>
      </c>
      <c r="E81" s="37">
        <f>B81*Tiers!$B$24</f>
        <v/>
      </c>
      <c r="F81" s="37">
        <f>B81*Tiers!$B$25</f>
        <v/>
      </c>
      <c r="G81" s="38">
        <f>D81+E81+F81</f>
        <v/>
      </c>
      <c r="H81" s="37">
        <f>G81*12</f>
        <v/>
      </c>
      <c r="I81" s="37">
        <f>C81*Tiers!$B$27</f>
        <v/>
      </c>
      <c r="J81" s="37">
        <f>B81*Tiers!$B$26</f>
        <v/>
      </c>
      <c r="K81" s="37">
        <f>IF(Assumptions!$C$155=1,(Assumptions!$C$135*Assumptions!$C$140+Hosting!$C$5*Assumptions!$C$140+MAX(0,ROUNDUP(B81/Assumptions!$C$141,0)-1)*Hosting!$C$5),IF(Assumptions!$C$155=2,(MAX(Assumptions!$C$145,ROUNDUP(B81/Assumptions!$C$146,0))*Assumptions!$C$144+B81*Hosting!$C$6),IF(B81&gt;=Assumptions!$C$156,(MAX(Assumptions!$C$145,ROUNDUP(B81/Assumptions!$C$146,0))*Assumptions!$C$144+B81*Hosting!$C$6),(Assumptions!$C$135*Assumptions!$C$140+Hosting!$C$5*Assumptions!$C$140+MAX(0,ROUNDUP(B81/Assumptions!$C$141,0)-1)*Hosting!$C$5))))+Assumptions!$C$159*(Assumptions!$C$160+MAX(0,B81*Assumptions!$C$163-Assumptions!$C$161)*Assumptions!$C$162)+Assumptions!$C$164*Assumptions!$C$165+B81*(Assumptions!$C$168+Assumptions!$C$169)</f>
        <v/>
      </c>
      <c r="L81" s="37">
        <f>C81*Tiers!$B$28</f>
        <v/>
      </c>
      <c r="M81" s="37">
        <f>G81+I81-J81-K81-L81</f>
        <v/>
      </c>
      <c r="N81" s="19">
        <f>IF(G81+I81&gt;0,M81/(G81+I81),0)</f>
        <v/>
      </c>
      <c r="O81" s="37">
        <f>O80+G81+I81</f>
        <v/>
      </c>
    </row>
    <row r="82">
      <c r="A82" s="15" t="n">
        <v>14</v>
      </c>
      <c r="B82" s="15">
        <f>MAX(Assumptions!$C$17,ROUND(Assumptions!$C$12*Assumptions!$C$15*(A82/24)^Assumptions!$C$16,0))</f>
        <v/>
      </c>
      <c r="C82" s="15">
        <f>MAX(0,B82-B81+ROUND(Assumptions!$C$18*B81,0))</f>
        <v/>
      </c>
      <c r="D82" s="37">
        <f>B82*Assumptions!$C$21</f>
        <v/>
      </c>
      <c r="E82" s="37">
        <f>B82*Tiers!$B$24</f>
        <v/>
      </c>
      <c r="F82" s="37">
        <f>B82*Tiers!$B$25</f>
        <v/>
      </c>
      <c r="G82" s="38">
        <f>D82+E82+F82</f>
        <v/>
      </c>
      <c r="H82" s="37">
        <f>G82*12</f>
        <v/>
      </c>
      <c r="I82" s="37">
        <f>C82*Tiers!$B$27</f>
        <v/>
      </c>
      <c r="J82" s="37">
        <f>B82*Tiers!$B$26</f>
        <v/>
      </c>
      <c r="K82" s="37">
        <f>IF(Assumptions!$C$155=1,(Assumptions!$C$135*Assumptions!$C$140+Hosting!$C$5*Assumptions!$C$140+MAX(0,ROUNDUP(B82/Assumptions!$C$141,0)-1)*Hosting!$C$5),IF(Assumptions!$C$155=2,(MAX(Assumptions!$C$145,ROUNDUP(B82/Assumptions!$C$146,0))*Assumptions!$C$144+B82*Hosting!$C$6),IF(B82&gt;=Assumptions!$C$156,(MAX(Assumptions!$C$145,ROUNDUP(B82/Assumptions!$C$146,0))*Assumptions!$C$144+B82*Hosting!$C$6),(Assumptions!$C$135*Assumptions!$C$140+Hosting!$C$5*Assumptions!$C$140+MAX(0,ROUNDUP(B82/Assumptions!$C$141,0)-1)*Hosting!$C$5))))+Assumptions!$C$159*(Assumptions!$C$160+MAX(0,B82*Assumptions!$C$163-Assumptions!$C$161)*Assumptions!$C$162)+Assumptions!$C$164*Assumptions!$C$165+B82*(Assumptions!$C$168+Assumptions!$C$169)</f>
        <v/>
      </c>
      <c r="L82" s="37">
        <f>C82*Tiers!$B$28</f>
        <v/>
      </c>
      <c r="M82" s="37">
        <f>G82+I82-J82-K82-L82</f>
        <v/>
      </c>
      <c r="N82" s="19">
        <f>IF(G82+I82&gt;0,M82/(G82+I82),0)</f>
        <v/>
      </c>
      <c r="O82" s="37">
        <f>O81+G82+I82</f>
        <v/>
      </c>
    </row>
    <row r="83">
      <c r="A83" s="15" t="n">
        <v>15</v>
      </c>
      <c r="B83" s="15">
        <f>MAX(Assumptions!$C$17,ROUND(Assumptions!$C$12*Assumptions!$C$15*(A83/24)^Assumptions!$C$16,0))</f>
        <v/>
      </c>
      <c r="C83" s="15">
        <f>MAX(0,B83-B82+ROUND(Assumptions!$C$18*B82,0))</f>
        <v/>
      </c>
      <c r="D83" s="37">
        <f>B83*Assumptions!$C$21</f>
        <v/>
      </c>
      <c r="E83" s="37">
        <f>B83*Tiers!$B$24</f>
        <v/>
      </c>
      <c r="F83" s="37">
        <f>B83*Tiers!$B$25</f>
        <v/>
      </c>
      <c r="G83" s="38">
        <f>D83+E83+F83</f>
        <v/>
      </c>
      <c r="H83" s="37">
        <f>G83*12</f>
        <v/>
      </c>
      <c r="I83" s="37">
        <f>C83*Tiers!$B$27</f>
        <v/>
      </c>
      <c r="J83" s="37">
        <f>B83*Tiers!$B$26</f>
        <v/>
      </c>
      <c r="K83" s="37">
        <f>IF(Assumptions!$C$155=1,(Assumptions!$C$135*Assumptions!$C$140+Hosting!$C$5*Assumptions!$C$140+MAX(0,ROUNDUP(B83/Assumptions!$C$141,0)-1)*Hosting!$C$5),IF(Assumptions!$C$155=2,(MAX(Assumptions!$C$145,ROUNDUP(B83/Assumptions!$C$146,0))*Assumptions!$C$144+B83*Hosting!$C$6),IF(B83&gt;=Assumptions!$C$156,(MAX(Assumptions!$C$145,ROUNDUP(B83/Assumptions!$C$146,0))*Assumptions!$C$144+B83*Hosting!$C$6),(Assumptions!$C$135*Assumptions!$C$140+Hosting!$C$5*Assumptions!$C$140+MAX(0,ROUNDUP(B83/Assumptions!$C$141,0)-1)*Hosting!$C$5))))+Assumptions!$C$159*(Assumptions!$C$160+MAX(0,B83*Assumptions!$C$163-Assumptions!$C$161)*Assumptions!$C$162)+Assumptions!$C$164*Assumptions!$C$165+B83*(Assumptions!$C$168+Assumptions!$C$169)</f>
        <v/>
      </c>
      <c r="L83" s="37">
        <f>C83*Tiers!$B$28</f>
        <v/>
      </c>
      <c r="M83" s="37">
        <f>G83+I83-J83-K83-L83</f>
        <v/>
      </c>
      <c r="N83" s="19">
        <f>IF(G83+I83&gt;0,M83/(G83+I83),0)</f>
        <v/>
      </c>
      <c r="O83" s="37">
        <f>O82+G83+I83</f>
        <v/>
      </c>
    </row>
    <row r="84">
      <c r="A84" s="15" t="n">
        <v>16</v>
      </c>
      <c r="B84" s="15">
        <f>MAX(Assumptions!$C$17,ROUND(Assumptions!$C$12*Assumptions!$C$15*(A84/24)^Assumptions!$C$16,0))</f>
        <v/>
      </c>
      <c r="C84" s="15">
        <f>MAX(0,B84-B83+ROUND(Assumptions!$C$18*B83,0))</f>
        <v/>
      </c>
      <c r="D84" s="37">
        <f>B84*Assumptions!$C$21</f>
        <v/>
      </c>
      <c r="E84" s="37">
        <f>B84*Tiers!$B$24</f>
        <v/>
      </c>
      <c r="F84" s="37">
        <f>B84*Tiers!$B$25</f>
        <v/>
      </c>
      <c r="G84" s="38">
        <f>D84+E84+F84</f>
        <v/>
      </c>
      <c r="H84" s="37">
        <f>G84*12</f>
        <v/>
      </c>
      <c r="I84" s="37">
        <f>C84*Tiers!$B$27</f>
        <v/>
      </c>
      <c r="J84" s="37">
        <f>B84*Tiers!$B$26</f>
        <v/>
      </c>
      <c r="K84" s="37">
        <f>IF(Assumptions!$C$155=1,(Assumptions!$C$135*Assumptions!$C$140+Hosting!$C$5*Assumptions!$C$140+MAX(0,ROUNDUP(B84/Assumptions!$C$141,0)-1)*Hosting!$C$5),IF(Assumptions!$C$155=2,(MAX(Assumptions!$C$145,ROUNDUP(B84/Assumptions!$C$146,0))*Assumptions!$C$144+B84*Hosting!$C$6),IF(B84&gt;=Assumptions!$C$156,(MAX(Assumptions!$C$145,ROUNDUP(B84/Assumptions!$C$146,0))*Assumptions!$C$144+B84*Hosting!$C$6),(Assumptions!$C$135*Assumptions!$C$140+Hosting!$C$5*Assumptions!$C$140+MAX(0,ROUNDUP(B84/Assumptions!$C$141,0)-1)*Hosting!$C$5))))+Assumptions!$C$159*(Assumptions!$C$160+MAX(0,B84*Assumptions!$C$163-Assumptions!$C$161)*Assumptions!$C$162)+Assumptions!$C$164*Assumptions!$C$165+B84*(Assumptions!$C$168+Assumptions!$C$169)</f>
        <v/>
      </c>
      <c r="L84" s="37">
        <f>C84*Tiers!$B$28</f>
        <v/>
      </c>
      <c r="M84" s="37">
        <f>G84+I84-J84-K84-L84</f>
        <v/>
      </c>
      <c r="N84" s="19">
        <f>IF(G84+I84&gt;0,M84/(G84+I84),0)</f>
        <v/>
      </c>
      <c r="O84" s="37">
        <f>O83+G84+I84</f>
        <v/>
      </c>
    </row>
    <row r="85">
      <c r="A85" s="15" t="n">
        <v>17</v>
      </c>
      <c r="B85" s="15">
        <f>MAX(Assumptions!$C$17,ROUND(Assumptions!$C$12*Assumptions!$C$15*(A85/24)^Assumptions!$C$16,0))</f>
        <v/>
      </c>
      <c r="C85" s="15">
        <f>MAX(0,B85-B84+ROUND(Assumptions!$C$18*B84,0))</f>
        <v/>
      </c>
      <c r="D85" s="37">
        <f>B85*Assumptions!$C$21</f>
        <v/>
      </c>
      <c r="E85" s="37">
        <f>B85*Tiers!$B$24</f>
        <v/>
      </c>
      <c r="F85" s="37">
        <f>B85*Tiers!$B$25</f>
        <v/>
      </c>
      <c r="G85" s="38">
        <f>D85+E85+F85</f>
        <v/>
      </c>
      <c r="H85" s="37">
        <f>G85*12</f>
        <v/>
      </c>
      <c r="I85" s="37">
        <f>C85*Tiers!$B$27</f>
        <v/>
      </c>
      <c r="J85" s="37">
        <f>B85*Tiers!$B$26</f>
        <v/>
      </c>
      <c r="K85" s="37">
        <f>IF(Assumptions!$C$155=1,(Assumptions!$C$135*Assumptions!$C$140+Hosting!$C$5*Assumptions!$C$140+MAX(0,ROUNDUP(B85/Assumptions!$C$141,0)-1)*Hosting!$C$5),IF(Assumptions!$C$155=2,(MAX(Assumptions!$C$145,ROUNDUP(B85/Assumptions!$C$146,0))*Assumptions!$C$144+B85*Hosting!$C$6),IF(B85&gt;=Assumptions!$C$156,(MAX(Assumptions!$C$145,ROUNDUP(B85/Assumptions!$C$146,0))*Assumptions!$C$144+B85*Hosting!$C$6),(Assumptions!$C$135*Assumptions!$C$140+Hosting!$C$5*Assumptions!$C$140+MAX(0,ROUNDUP(B85/Assumptions!$C$141,0)-1)*Hosting!$C$5))))+Assumptions!$C$159*(Assumptions!$C$160+MAX(0,B85*Assumptions!$C$163-Assumptions!$C$161)*Assumptions!$C$162)+Assumptions!$C$164*Assumptions!$C$165+B85*(Assumptions!$C$168+Assumptions!$C$169)</f>
        <v/>
      </c>
      <c r="L85" s="37">
        <f>C85*Tiers!$B$28</f>
        <v/>
      </c>
      <c r="M85" s="37">
        <f>G85+I85-J85-K85-L85</f>
        <v/>
      </c>
      <c r="N85" s="19">
        <f>IF(G85+I85&gt;0,M85/(G85+I85),0)</f>
        <v/>
      </c>
      <c r="O85" s="37">
        <f>O84+G85+I85</f>
        <v/>
      </c>
    </row>
    <row r="86">
      <c r="A86" s="15" t="n">
        <v>18</v>
      </c>
      <c r="B86" s="15">
        <f>MAX(Assumptions!$C$17,ROUND(Assumptions!$C$12*Assumptions!$C$15*(A86/24)^Assumptions!$C$16,0))</f>
        <v/>
      </c>
      <c r="C86" s="15">
        <f>MAX(0,B86-B85+ROUND(Assumptions!$C$18*B85,0))</f>
        <v/>
      </c>
      <c r="D86" s="37">
        <f>B86*Assumptions!$C$21</f>
        <v/>
      </c>
      <c r="E86" s="37">
        <f>B86*Tiers!$B$24</f>
        <v/>
      </c>
      <c r="F86" s="37">
        <f>B86*Tiers!$B$25</f>
        <v/>
      </c>
      <c r="G86" s="38">
        <f>D86+E86+F86</f>
        <v/>
      </c>
      <c r="H86" s="37">
        <f>G86*12</f>
        <v/>
      </c>
      <c r="I86" s="37">
        <f>C86*Tiers!$B$27</f>
        <v/>
      </c>
      <c r="J86" s="37">
        <f>B86*Tiers!$B$26</f>
        <v/>
      </c>
      <c r="K86" s="37">
        <f>IF(Assumptions!$C$155=1,(Assumptions!$C$135*Assumptions!$C$140+Hosting!$C$5*Assumptions!$C$140+MAX(0,ROUNDUP(B86/Assumptions!$C$141,0)-1)*Hosting!$C$5),IF(Assumptions!$C$155=2,(MAX(Assumptions!$C$145,ROUNDUP(B86/Assumptions!$C$146,0))*Assumptions!$C$144+B86*Hosting!$C$6),IF(B86&gt;=Assumptions!$C$156,(MAX(Assumptions!$C$145,ROUNDUP(B86/Assumptions!$C$146,0))*Assumptions!$C$144+B86*Hosting!$C$6),(Assumptions!$C$135*Assumptions!$C$140+Hosting!$C$5*Assumptions!$C$140+MAX(0,ROUNDUP(B86/Assumptions!$C$141,0)-1)*Hosting!$C$5))))+Assumptions!$C$159*(Assumptions!$C$160+MAX(0,B86*Assumptions!$C$163-Assumptions!$C$161)*Assumptions!$C$162)+Assumptions!$C$164*Assumptions!$C$165+B86*(Assumptions!$C$168+Assumptions!$C$169)</f>
        <v/>
      </c>
      <c r="L86" s="37">
        <f>C86*Tiers!$B$28</f>
        <v/>
      </c>
      <c r="M86" s="37">
        <f>G86+I86-J86-K86-L86</f>
        <v/>
      </c>
      <c r="N86" s="19">
        <f>IF(G86+I86&gt;0,M86/(G86+I86),0)</f>
        <v/>
      </c>
      <c r="O86" s="37">
        <f>O85+G86+I86</f>
        <v/>
      </c>
    </row>
    <row r="87">
      <c r="A87" s="15" t="n">
        <v>19</v>
      </c>
      <c r="B87" s="15">
        <f>MAX(Assumptions!$C$17,ROUND(Assumptions!$C$12*Assumptions!$C$15*(A87/24)^Assumptions!$C$16,0))</f>
        <v/>
      </c>
      <c r="C87" s="15">
        <f>MAX(0,B87-B86+ROUND(Assumptions!$C$18*B86,0))</f>
        <v/>
      </c>
      <c r="D87" s="37">
        <f>B87*Assumptions!$C$21</f>
        <v/>
      </c>
      <c r="E87" s="37">
        <f>B87*Tiers!$B$24</f>
        <v/>
      </c>
      <c r="F87" s="37">
        <f>B87*Tiers!$B$25</f>
        <v/>
      </c>
      <c r="G87" s="38">
        <f>D87+E87+F87</f>
        <v/>
      </c>
      <c r="H87" s="37">
        <f>G87*12</f>
        <v/>
      </c>
      <c r="I87" s="37">
        <f>C87*Tiers!$B$27</f>
        <v/>
      </c>
      <c r="J87" s="37">
        <f>B87*Tiers!$B$26</f>
        <v/>
      </c>
      <c r="K87" s="37">
        <f>IF(Assumptions!$C$155=1,(Assumptions!$C$135*Assumptions!$C$140+Hosting!$C$5*Assumptions!$C$140+MAX(0,ROUNDUP(B87/Assumptions!$C$141,0)-1)*Hosting!$C$5),IF(Assumptions!$C$155=2,(MAX(Assumptions!$C$145,ROUNDUP(B87/Assumptions!$C$146,0))*Assumptions!$C$144+B87*Hosting!$C$6),IF(B87&gt;=Assumptions!$C$156,(MAX(Assumptions!$C$145,ROUNDUP(B87/Assumptions!$C$146,0))*Assumptions!$C$144+B87*Hosting!$C$6),(Assumptions!$C$135*Assumptions!$C$140+Hosting!$C$5*Assumptions!$C$140+MAX(0,ROUNDUP(B87/Assumptions!$C$141,0)-1)*Hosting!$C$5))))+Assumptions!$C$159*(Assumptions!$C$160+MAX(0,B87*Assumptions!$C$163-Assumptions!$C$161)*Assumptions!$C$162)+Assumptions!$C$164*Assumptions!$C$165+B87*(Assumptions!$C$168+Assumptions!$C$169)</f>
        <v/>
      </c>
      <c r="L87" s="37">
        <f>C87*Tiers!$B$28</f>
        <v/>
      </c>
      <c r="M87" s="37">
        <f>G87+I87-J87-K87-L87</f>
        <v/>
      </c>
      <c r="N87" s="19">
        <f>IF(G87+I87&gt;0,M87/(G87+I87),0)</f>
        <v/>
      </c>
      <c r="O87" s="37">
        <f>O86+G87+I87</f>
        <v/>
      </c>
    </row>
    <row r="88">
      <c r="A88" s="15" t="n">
        <v>20</v>
      </c>
      <c r="B88" s="15">
        <f>MAX(Assumptions!$C$17,ROUND(Assumptions!$C$12*Assumptions!$C$15*(A88/24)^Assumptions!$C$16,0))</f>
        <v/>
      </c>
      <c r="C88" s="15">
        <f>MAX(0,B88-B87+ROUND(Assumptions!$C$18*B87,0))</f>
        <v/>
      </c>
      <c r="D88" s="37">
        <f>B88*Assumptions!$C$21</f>
        <v/>
      </c>
      <c r="E88" s="37">
        <f>B88*Tiers!$B$24</f>
        <v/>
      </c>
      <c r="F88" s="37">
        <f>B88*Tiers!$B$25</f>
        <v/>
      </c>
      <c r="G88" s="38">
        <f>D88+E88+F88</f>
        <v/>
      </c>
      <c r="H88" s="37">
        <f>G88*12</f>
        <v/>
      </c>
      <c r="I88" s="37">
        <f>C88*Tiers!$B$27</f>
        <v/>
      </c>
      <c r="J88" s="37">
        <f>B88*Tiers!$B$26</f>
        <v/>
      </c>
      <c r="K88" s="37">
        <f>IF(Assumptions!$C$155=1,(Assumptions!$C$135*Assumptions!$C$140+Hosting!$C$5*Assumptions!$C$140+MAX(0,ROUNDUP(B88/Assumptions!$C$141,0)-1)*Hosting!$C$5),IF(Assumptions!$C$155=2,(MAX(Assumptions!$C$145,ROUNDUP(B88/Assumptions!$C$146,0))*Assumptions!$C$144+B88*Hosting!$C$6),IF(B88&gt;=Assumptions!$C$156,(MAX(Assumptions!$C$145,ROUNDUP(B88/Assumptions!$C$146,0))*Assumptions!$C$144+B88*Hosting!$C$6),(Assumptions!$C$135*Assumptions!$C$140+Hosting!$C$5*Assumptions!$C$140+MAX(0,ROUNDUP(B88/Assumptions!$C$141,0)-1)*Hosting!$C$5))))+Assumptions!$C$159*(Assumptions!$C$160+MAX(0,B88*Assumptions!$C$163-Assumptions!$C$161)*Assumptions!$C$162)+Assumptions!$C$164*Assumptions!$C$165+B88*(Assumptions!$C$168+Assumptions!$C$169)</f>
        <v/>
      </c>
      <c r="L88" s="37">
        <f>C88*Tiers!$B$28</f>
        <v/>
      </c>
      <c r="M88" s="37">
        <f>G88+I88-J88-K88-L88</f>
        <v/>
      </c>
      <c r="N88" s="19">
        <f>IF(G88+I88&gt;0,M88/(G88+I88),0)</f>
        <v/>
      </c>
      <c r="O88" s="37">
        <f>O87+G88+I88</f>
        <v/>
      </c>
    </row>
    <row r="89">
      <c r="A89" s="15" t="n">
        <v>21</v>
      </c>
      <c r="B89" s="15">
        <f>MAX(Assumptions!$C$17,ROUND(Assumptions!$C$12*Assumptions!$C$15*(A89/24)^Assumptions!$C$16,0))</f>
        <v/>
      </c>
      <c r="C89" s="15">
        <f>MAX(0,B89-B88+ROUND(Assumptions!$C$18*B88,0))</f>
        <v/>
      </c>
      <c r="D89" s="37">
        <f>B89*Assumptions!$C$21</f>
        <v/>
      </c>
      <c r="E89" s="37">
        <f>B89*Tiers!$B$24</f>
        <v/>
      </c>
      <c r="F89" s="37">
        <f>B89*Tiers!$B$25</f>
        <v/>
      </c>
      <c r="G89" s="38">
        <f>D89+E89+F89</f>
        <v/>
      </c>
      <c r="H89" s="37">
        <f>G89*12</f>
        <v/>
      </c>
      <c r="I89" s="37">
        <f>C89*Tiers!$B$27</f>
        <v/>
      </c>
      <c r="J89" s="37">
        <f>B89*Tiers!$B$26</f>
        <v/>
      </c>
      <c r="K89" s="37">
        <f>IF(Assumptions!$C$155=1,(Assumptions!$C$135*Assumptions!$C$140+Hosting!$C$5*Assumptions!$C$140+MAX(0,ROUNDUP(B89/Assumptions!$C$141,0)-1)*Hosting!$C$5),IF(Assumptions!$C$155=2,(MAX(Assumptions!$C$145,ROUNDUP(B89/Assumptions!$C$146,0))*Assumptions!$C$144+B89*Hosting!$C$6),IF(B89&gt;=Assumptions!$C$156,(MAX(Assumptions!$C$145,ROUNDUP(B89/Assumptions!$C$146,0))*Assumptions!$C$144+B89*Hosting!$C$6),(Assumptions!$C$135*Assumptions!$C$140+Hosting!$C$5*Assumptions!$C$140+MAX(0,ROUNDUP(B89/Assumptions!$C$141,0)-1)*Hosting!$C$5))))+Assumptions!$C$159*(Assumptions!$C$160+MAX(0,B89*Assumptions!$C$163-Assumptions!$C$161)*Assumptions!$C$162)+Assumptions!$C$164*Assumptions!$C$165+B89*(Assumptions!$C$168+Assumptions!$C$169)</f>
        <v/>
      </c>
      <c r="L89" s="37">
        <f>C89*Tiers!$B$28</f>
        <v/>
      </c>
      <c r="M89" s="37">
        <f>G89+I89-J89-K89-L89</f>
        <v/>
      </c>
      <c r="N89" s="19">
        <f>IF(G89+I89&gt;0,M89/(G89+I89),0)</f>
        <v/>
      </c>
      <c r="O89" s="37">
        <f>O88+G89+I89</f>
        <v/>
      </c>
    </row>
    <row r="90">
      <c r="A90" s="15" t="n">
        <v>22</v>
      </c>
      <c r="B90" s="15">
        <f>MAX(Assumptions!$C$17,ROUND(Assumptions!$C$12*Assumptions!$C$15*(A90/24)^Assumptions!$C$16,0))</f>
        <v/>
      </c>
      <c r="C90" s="15">
        <f>MAX(0,B90-B89+ROUND(Assumptions!$C$18*B89,0))</f>
        <v/>
      </c>
      <c r="D90" s="37">
        <f>B90*Assumptions!$C$21</f>
        <v/>
      </c>
      <c r="E90" s="37">
        <f>B90*Tiers!$B$24</f>
        <v/>
      </c>
      <c r="F90" s="37">
        <f>B90*Tiers!$B$25</f>
        <v/>
      </c>
      <c r="G90" s="38">
        <f>D90+E90+F90</f>
        <v/>
      </c>
      <c r="H90" s="37">
        <f>G90*12</f>
        <v/>
      </c>
      <c r="I90" s="37">
        <f>C90*Tiers!$B$27</f>
        <v/>
      </c>
      <c r="J90" s="37">
        <f>B90*Tiers!$B$26</f>
        <v/>
      </c>
      <c r="K90" s="37">
        <f>IF(Assumptions!$C$155=1,(Assumptions!$C$135*Assumptions!$C$140+Hosting!$C$5*Assumptions!$C$140+MAX(0,ROUNDUP(B90/Assumptions!$C$141,0)-1)*Hosting!$C$5),IF(Assumptions!$C$155=2,(MAX(Assumptions!$C$145,ROUNDUP(B90/Assumptions!$C$146,0))*Assumptions!$C$144+B90*Hosting!$C$6),IF(B90&gt;=Assumptions!$C$156,(MAX(Assumptions!$C$145,ROUNDUP(B90/Assumptions!$C$146,0))*Assumptions!$C$144+B90*Hosting!$C$6),(Assumptions!$C$135*Assumptions!$C$140+Hosting!$C$5*Assumptions!$C$140+MAX(0,ROUNDUP(B90/Assumptions!$C$141,0)-1)*Hosting!$C$5))))+Assumptions!$C$159*(Assumptions!$C$160+MAX(0,B90*Assumptions!$C$163-Assumptions!$C$161)*Assumptions!$C$162)+Assumptions!$C$164*Assumptions!$C$165+B90*(Assumptions!$C$168+Assumptions!$C$169)</f>
        <v/>
      </c>
      <c r="L90" s="37">
        <f>C90*Tiers!$B$28</f>
        <v/>
      </c>
      <c r="M90" s="37">
        <f>G90+I90-J90-K90-L90</f>
        <v/>
      </c>
      <c r="N90" s="19">
        <f>IF(G90+I90&gt;0,M90/(G90+I90),0)</f>
        <v/>
      </c>
      <c r="O90" s="37">
        <f>O89+G90+I90</f>
        <v/>
      </c>
    </row>
    <row r="91">
      <c r="A91" s="15" t="n">
        <v>23</v>
      </c>
      <c r="B91" s="15">
        <f>MAX(Assumptions!$C$17,ROUND(Assumptions!$C$12*Assumptions!$C$15*(A91/24)^Assumptions!$C$16,0))</f>
        <v/>
      </c>
      <c r="C91" s="15">
        <f>MAX(0,B91-B90+ROUND(Assumptions!$C$18*B90,0))</f>
        <v/>
      </c>
      <c r="D91" s="37">
        <f>B91*Assumptions!$C$21</f>
        <v/>
      </c>
      <c r="E91" s="37">
        <f>B91*Tiers!$B$24</f>
        <v/>
      </c>
      <c r="F91" s="37">
        <f>B91*Tiers!$B$25</f>
        <v/>
      </c>
      <c r="G91" s="38">
        <f>D91+E91+F91</f>
        <v/>
      </c>
      <c r="H91" s="37">
        <f>G91*12</f>
        <v/>
      </c>
      <c r="I91" s="37">
        <f>C91*Tiers!$B$27</f>
        <v/>
      </c>
      <c r="J91" s="37">
        <f>B91*Tiers!$B$26</f>
        <v/>
      </c>
      <c r="K91" s="37">
        <f>IF(Assumptions!$C$155=1,(Assumptions!$C$135*Assumptions!$C$140+Hosting!$C$5*Assumptions!$C$140+MAX(0,ROUNDUP(B91/Assumptions!$C$141,0)-1)*Hosting!$C$5),IF(Assumptions!$C$155=2,(MAX(Assumptions!$C$145,ROUNDUP(B91/Assumptions!$C$146,0))*Assumptions!$C$144+B91*Hosting!$C$6),IF(B91&gt;=Assumptions!$C$156,(MAX(Assumptions!$C$145,ROUNDUP(B91/Assumptions!$C$146,0))*Assumptions!$C$144+B91*Hosting!$C$6),(Assumptions!$C$135*Assumptions!$C$140+Hosting!$C$5*Assumptions!$C$140+MAX(0,ROUNDUP(B91/Assumptions!$C$141,0)-1)*Hosting!$C$5))))+Assumptions!$C$159*(Assumptions!$C$160+MAX(0,B91*Assumptions!$C$163-Assumptions!$C$161)*Assumptions!$C$162)+Assumptions!$C$164*Assumptions!$C$165+B91*(Assumptions!$C$168+Assumptions!$C$169)</f>
        <v/>
      </c>
      <c r="L91" s="37">
        <f>C91*Tiers!$B$28</f>
        <v/>
      </c>
      <c r="M91" s="37">
        <f>G91+I91-J91-K91-L91</f>
        <v/>
      </c>
      <c r="N91" s="19">
        <f>IF(G91+I91&gt;0,M91/(G91+I91),0)</f>
        <v/>
      </c>
      <c r="O91" s="37">
        <f>O90+G91+I91</f>
        <v/>
      </c>
    </row>
    <row r="92">
      <c r="A92" s="15" t="n">
        <v>24</v>
      </c>
      <c r="B92" s="15">
        <f>MAX(Assumptions!$C$17,ROUND(Assumptions!$C$12*Assumptions!$C$15*(A92/24)^Assumptions!$C$16,0))</f>
        <v/>
      </c>
      <c r="C92" s="15">
        <f>MAX(0,B92-B91+ROUND(Assumptions!$C$18*B91,0))</f>
        <v/>
      </c>
      <c r="D92" s="37">
        <f>B92*Assumptions!$C$21</f>
        <v/>
      </c>
      <c r="E92" s="37">
        <f>B92*Tiers!$B$24</f>
        <v/>
      </c>
      <c r="F92" s="37">
        <f>B92*Tiers!$B$25</f>
        <v/>
      </c>
      <c r="G92" s="38">
        <f>D92+E92+F92</f>
        <v/>
      </c>
      <c r="H92" s="37">
        <f>G92*12</f>
        <v/>
      </c>
      <c r="I92" s="37">
        <f>C92*Tiers!$B$27</f>
        <v/>
      </c>
      <c r="J92" s="37">
        <f>B92*Tiers!$B$26</f>
        <v/>
      </c>
      <c r="K92" s="37">
        <f>IF(Assumptions!$C$155=1,(Assumptions!$C$135*Assumptions!$C$140+Hosting!$C$5*Assumptions!$C$140+MAX(0,ROUNDUP(B92/Assumptions!$C$141,0)-1)*Hosting!$C$5),IF(Assumptions!$C$155=2,(MAX(Assumptions!$C$145,ROUNDUP(B92/Assumptions!$C$146,0))*Assumptions!$C$144+B92*Hosting!$C$6),IF(B92&gt;=Assumptions!$C$156,(MAX(Assumptions!$C$145,ROUNDUP(B92/Assumptions!$C$146,0))*Assumptions!$C$144+B92*Hosting!$C$6),(Assumptions!$C$135*Assumptions!$C$140+Hosting!$C$5*Assumptions!$C$140+MAX(0,ROUNDUP(B92/Assumptions!$C$141,0)-1)*Hosting!$C$5))))+Assumptions!$C$159*(Assumptions!$C$160+MAX(0,B92*Assumptions!$C$163-Assumptions!$C$161)*Assumptions!$C$162)+Assumptions!$C$164*Assumptions!$C$165+B92*(Assumptions!$C$168+Assumptions!$C$169)</f>
        <v/>
      </c>
      <c r="L92" s="37">
        <f>C92*Tiers!$B$28</f>
        <v/>
      </c>
      <c r="M92" s="37">
        <f>G92+I92-J92-K92-L92</f>
        <v/>
      </c>
      <c r="N92" s="19">
        <f>IF(G92+I92&gt;0,M92/(G92+I92),0)</f>
        <v/>
      </c>
      <c r="O92" s="37">
        <f>O91+G92+I92</f>
        <v/>
      </c>
    </row>
  </sheetData>
  <pageMargins left="0.75" right="0.75" top="1" bottom="1" header="0.5" footer="0.5"/>
</worksheet>
</file>

<file path=xl/worksheets/sheet8.xml><?xml version="1.0" encoding="utf-8"?>
<worksheet xmlns="http://schemas.openxmlformats.org/spreadsheetml/2006/main">
  <sheetPr>
    <tabColor rgb="008051FF"/>
    <outlinePr summaryBelow="1" summaryRight="1"/>
    <pageSetUpPr/>
  </sheetPr>
  <dimension ref="A1:E83"/>
  <sheetViews>
    <sheetView showGridLines="0" workbookViewId="0">
      <selection activeCell="A1" sqref="A1"/>
    </sheetView>
  </sheetViews>
  <sheetFormatPr baseColWidth="8" defaultRowHeight="15"/>
  <cols>
    <col width="46" customWidth="1" min="1" max="1"/>
    <col width="26" customWidth="1" min="2" max="2"/>
    <col width="24" customWidth="1" min="3" max="3"/>
    <col width="16" customWidth="1" min="4" max="4"/>
    <col width="30" customWidth="1" min="5" max="5"/>
  </cols>
  <sheetData>
    <row r="1" ht="22" customHeight="1">
      <c r="A1" s="1" t="inlineStr">
        <is>
          <t>Sensitivity</t>
        </is>
      </c>
      <c r="B1" s="2" t="n"/>
      <c r="C1" s="2" t="n"/>
      <c r="D1" s="2" t="n"/>
      <c r="E1" s="2" t="n"/>
    </row>
    <row r="2">
      <c r="A2" s="3" t="inlineStr">
        <is>
          <t>One driver changes at a time; everything else stays at base. Blue test values can be overwritten.</t>
        </is>
      </c>
      <c r="B2" s="2" t="n"/>
      <c r="C2" s="2" t="n"/>
      <c r="D2" s="2" t="n"/>
      <c r="E2" s="2" t="n"/>
    </row>
    <row r="4">
      <c r="A4" s="23" t="inlineStr">
        <is>
          <t>Check: the formula used below, at base, against Tiers</t>
        </is>
      </c>
      <c r="B4" s="21">
        <f>(Assumptions!$C$21+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4" s="21">
        <f>Tiers!$B$15</f>
        <v/>
      </c>
      <c r="D4"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E4" s="21">
        <f>Tiers!$B$18</f>
        <v/>
      </c>
    </row>
    <row r="6">
      <c r="A6" s="5" t="inlineStr">
        <is>
          <t>Phone minutes per dialer seat per month</t>
        </is>
      </c>
      <c r="B6" s="6" t="n"/>
      <c r="C6" s="6" t="n"/>
      <c r="D6" s="6" t="n"/>
      <c r="E6" s="6" t="n"/>
    </row>
    <row r="7" ht="30" customHeight="1">
      <c r="A7" s="4" t="inlineStr">
        <is>
          <t>Phone minutes per dialer seat per month</t>
        </is>
      </c>
      <c r="B7" s="4" t="inlineStr">
        <is>
          <t>Revenue per tenant per month</t>
        </is>
      </c>
      <c r="C7" s="4" t="inlineStr">
        <is>
          <t>Cost per tenant per month</t>
        </is>
      </c>
      <c r="D7" s="4" t="inlineStr">
        <is>
          <t>Gross margin</t>
        </is>
      </c>
      <c r="E7" s="4" t="inlineStr">
        <is>
          <t>ARR at month 24, base scenario</t>
        </is>
      </c>
    </row>
    <row r="8">
      <c r="A8" s="9" t="n">
        <v>600</v>
      </c>
      <c r="B8" s="21">
        <f>(Assumptions!$C$21+Assumptions!$C$33*Assumptions!$C$41*(Assumptions!$C$22+Assumptions!$C$25*MAX(0,$A8-Assumptions!$C$23)*UnitEconomics!$D$31)+Assumptions!$C$34*(Assumptions!$C$26+Assumptions!$C$25*MAX(0,UnitEconomics!$D$15-Assumptions!$C$27)*UnitEconomics!$D$39)+Assumptions!$C$35*Assumptions!$C$29+Assumptions!$C$36*Assumptions!$C$30+Assumptions!$C$37*(Assumptions!$C$116*Assumptions!$C$41+Assumptions!$C$123*Assumptions!$C$41*(1-Assumptions!$C$33)))</f>
        <v/>
      </c>
      <c r="C8" s="21">
        <f>(UnitEconomics!$D$71+Assumptions!$C$33*(Assumptions!$C$41*$A8*UnitEconomics!$D$27+(Assumptions!$C$41*Assumptions!$C$42+Assumptions!$C$43)*Assumptions!$C$98)+Assumptions!$C$34*(UnitEconomics!$D$15*UnitEconomics!$D$38+UnitEconomics!$D$35+UnitEconomics!$D$36)+Assumptions!$C$35*UnitEconomics!$D$74+Assumptions!$C$36*UnitEconomics!$D$75)</f>
        <v/>
      </c>
      <c r="D8" s="19">
        <f>IF(B8&gt;0,(B8-C8)/B8,0)</f>
        <v/>
      </c>
      <c r="E8" s="33">
        <f>Forecast!$F$6*B8*12</f>
        <v/>
      </c>
    </row>
    <row r="9">
      <c r="A9" s="9" t="n">
        <v>1000</v>
      </c>
      <c r="B9" s="21">
        <f>(Assumptions!$C$21+Assumptions!$C$33*Assumptions!$C$41*(Assumptions!$C$22+Assumptions!$C$25*MAX(0,$A9-Assumptions!$C$23)*UnitEconomics!$D$31)+Assumptions!$C$34*(Assumptions!$C$26+Assumptions!$C$25*MAX(0,UnitEconomics!$D$15-Assumptions!$C$27)*UnitEconomics!$D$39)+Assumptions!$C$35*Assumptions!$C$29+Assumptions!$C$36*Assumptions!$C$30+Assumptions!$C$37*(Assumptions!$C$116*Assumptions!$C$41+Assumptions!$C$123*Assumptions!$C$41*(1-Assumptions!$C$33)))</f>
        <v/>
      </c>
      <c r="C9" s="21">
        <f>(UnitEconomics!$D$71+Assumptions!$C$33*(Assumptions!$C$41*$A9*UnitEconomics!$D$27+(Assumptions!$C$41*Assumptions!$C$42+Assumptions!$C$43)*Assumptions!$C$98)+Assumptions!$C$34*(UnitEconomics!$D$15*UnitEconomics!$D$38+UnitEconomics!$D$35+UnitEconomics!$D$36)+Assumptions!$C$35*UnitEconomics!$D$74+Assumptions!$C$36*UnitEconomics!$D$75)</f>
        <v/>
      </c>
      <c r="D9" s="19">
        <f>IF(B9&gt;0,(B9-C9)/B9,0)</f>
        <v/>
      </c>
      <c r="E9" s="33">
        <f>Forecast!$F$6*B9*12</f>
        <v/>
      </c>
    </row>
    <row r="10">
      <c r="A10" s="9" t="n">
        <v>1200</v>
      </c>
      <c r="B10" s="21">
        <f>(Assumptions!$C$21+Assumptions!$C$33*Assumptions!$C$41*(Assumptions!$C$22+Assumptions!$C$25*MAX(0,$A10-Assumptions!$C$23)*UnitEconomics!$D$31)+Assumptions!$C$34*(Assumptions!$C$26+Assumptions!$C$25*MAX(0,UnitEconomics!$D$15-Assumptions!$C$27)*UnitEconomics!$D$39)+Assumptions!$C$35*Assumptions!$C$29+Assumptions!$C$36*Assumptions!$C$30+Assumptions!$C$37*(Assumptions!$C$116*Assumptions!$C$41+Assumptions!$C$123*Assumptions!$C$41*(1-Assumptions!$C$33)))</f>
        <v/>
      </c>
      <c r="C10" s="21">
        <f>(UnitEconomics!$D$71+Assumptions!$C$33*(Assumptions!$C$41*$A10*UnitEconomics!$D$27+(Assumptions!$C$41*Assumptions!$C$42+Assumptions!$C$43)*Assumptions!$C$98)+Assumptions!$C$34*(UnitEconomics!$D$15*UnitEconomics!$D$38+UnitEconomics!$D$35+UnitEconomics!$D$36)+Assumptions!$C$35*UnitEconomics!$D$74+Assumptions!$C$36*UnitEconomics!$D$75)</f>
        <v/>
      </c>
      <c r="D10" s="19">
        <f>IF(B10&gt;0,(B10-C10)/B10,0)</f>
        <v/>
      </c>
      <c r="E10" s="33">
        <f>Forecast!$F$6*B10*12</f>
        <v/>
      </c>
    </row>
    <row r="11">
      <c r="A11" s="9" t="n">
        <v>1500</v>
      </c>
      <c r="B11" s="21">
        <f>(Assumptions!$C$21+Assumptions!$C$33*Assumptions!$C$41*(Assumptions!$C$22+Assumptions!$C$25*MAX(0,$A11-Assumptions!$C$23)*UnitEconomics!$D$31)+Assumptions!$C$34*(Assumptions!$C$26+Assumptions!$C$25*MAX(0,UnitEconomics!$D$15-Assumptions!$C$27)*UnitEconomics!$D$39)+Assumptions!$C$35*Assumptions!$C$29+Assumptions!$C$36*Assumptions!$C$30+Assumptions!$C$37*(Assumptions!$C$116*Assumptions!$C$41+Assumptions!$C$123*Assumptions!$C$41*(1-Assumptions!$C$33)))</f>
        <v/>
      </c>
      <c r="C11" s="21">
        <f>(UnitEconomics!$D$71+Assumptions!$C$33*(Assumptions!$C$41*$A11*UnitEconomics!$D$27+(Assumptions!$C$41*Assumptions!$C$42+Assumptions!$C$43)*Assumptions!$C$98)+Assumptions!$C$34*(UnitEconomics!$D$15*UnitEconomics!$D$38+UnitEconomics!$D$35+UnitEconomics!$D$36)+Assumptions!$C$35*UnitEconomics!$D$74+Assumptions!$C$36*UnitEconomics!$D$75)</f>
        <v/>
      </c>
      <c r="D11" s="19">
        <f>IF(B11&gt;0,(B11-C11)/B11,0)</f>
        <v/>
      </c>
      <c r="E11" s="33">
        <f>Forecast!$F$6*B11*12</f>
        <v/>
      </c>
    </row>
    <row r="12">
      <c r="A12" s="9" t="n">
        <v>2000</v>
      </c>
      <c r="B12" s="21">
        <f>(Assumptions!$C$21+Assumptions!$C$33*Assumptions!$C$41*(Assumptions!$C$22+Assumptions!$C$25*MAX(0,$A12-Assumptions!$C$23)*UnitEconomics!$D$31)+Assumptions!$C$34*(Assumptions!$C$26+Assumptions!$C$25*MAX(0,UnitEconomics!$D$15-Assumptions!$C$27)*UnitEconomics!$D$39)+Assumptions!$C$35*Assumptions!$C$29+Assumptions!$C$36*Assumptions!$C$30+Assumptions!$C$37*(Assumptions!$C$116*Assumptions!$C$41+Assumptions!$C$123*Assumptions!$C$41*(1-Assumptions!$C$33)))</f>
        <v/>
      </c>
      <c r="C12" s="21">
        <f>(UnitEconomics!$D$71+Assumptions!$C$33*(Assumptions!$C$41*$A12*UnitEconomics!$D$27+(Assumptions!$C$41*Assumptions!$C$42+Assumptions!$C$43)*Assumptions!$C$98)+Assumptions!$C$34*(UnitEconomics!$D$15*UnitEconomics!$D$38+UnitEconomics!$D$35+UnitEconomics!$D$36)+Assumptions!$C$35*UnitEconomics!$D$74+Assumptions!$C$36*UnitEconomics!$D$75)</f>
        <v/>
      </c>
      <c r="D12" s="19">
        <f>IF(B12&gt;0,(B12-C12)/B12,0)</f>
        <v/>
      </c>
      <c r="E12" s="33">
        <f>Forecast!$F$6*B12*12</f>
        <v/>
      </c>
    </row>
    <row r="13">
      <c r="A13" s="9" t="n">
        <v>2500</v>
      </c>
      <c r="B13" s="21">
        <f>(Assumptions!$C$21+Assumptions!$C$33*Assumptions!$C$41*(Assumptions!$C$22+Assumptions!$C$25*MAX(0,$A13-Assumptions!$C$23)*UnitEconomics!$D$31)+Assumptions!$C$34*(Assumptions!$C$26+Assumptions!$C$25*MAX(0,UnitEconomics!$D$15-Assumptions!$C$27)*UnitEconomics!$D$39)+Assumptions!$C$35*Assumptions!$C$29+Assumptions!$C$36*Assumptions!$C$30+Assumptions!$C$37*(Assumptions!$C$116*Assumptions!$C$41+Assumptions!$C$123*Assumptions!$C$41*(1-Assumptions!$C$33)))</f>
        <v/>
      </c>
      <c r="C13" s="21">
        <f>(UnitEconomics!$D$71+Assumptions!$C$33*(Assumptions!$C$41*$A13*UnitEconomics!$D$27+(Assumptions!$C$41*Assumptions!$C$42+Assumptions!$C$43)*Assumptions!$C$98)+Assumptions!$C$34*(UnitEconomics!$D$15*UnitEconomics!$D$38+UnitEconomics!$D$35+UnitEconomics!$D$36)+Assumptions!$C$35*UnitEconomics!$D$74+Assumptions!$C$36*UnitEconomics!$D$75)</f>
        <v/>
      </c>
      <c r="D13" s="19">
        <f>IF(B13&gt;0,(B13-C13)/B13,0)</f>
        <v/>
      </c>
      <c r="E13" s="33">
        <f>Forecast!$F$6*B13*12</f>
        <v/>
      </c>
    </row>
    <row r="14">
      <c r="A14" s="9" t="n">
        <v>3000</v>
      </c>
      <c r="B14" s="21">
        <f>(Assumptions!$C$21+Assumptions!$C$33*Assumptions!$C$41*(Assumptions!$C$22+Assumptions!$C$25*MAX(0,$A14-Assumptions!$C$23)*UnitEconomics!$D$31)+Assumptions!$C$34*(Assumptions!$C$26+Assumptions!$C$25*MAX(0,UnitEconomics!$D$15-Assumptions!$C$27)*UnitEconomics!$D$39)+Assumptions!$C$35*Assumptions!$C$29+Assumptions!$C$36*Assumptions!$C$30+Assumptions!$C$37*(Assumptions!$C$116*Assumptions!$C$41+Assumptions!$C$123*Assumptions!$C$41*(1-Assumptions!$C$33)))</f>
        <v/>
      </c>
      <c r="C14" s="21">
        <f>(UnitEconomics!$D$71+Assumptions!$C$33*(Assumptions!$C$41*$A14*UnitEconomics!$D$27+(Assumptions!$C$41*Assumptions!$C$42+Assumptions!$C$43)*Assumptions!$C$98)+Assumptions!$C$34*(UnitEconomics!$D$15*UnitEconomics!$D$38+UnitEconomics!$D$35+UnitEconomics!$D$36)+Assumptions!$C$35*UnitEconomics!$D$74+Assumptions!$C$36*UnitEconomics!$D$75)</f>
        <v/>
      </c>
      <c r="D14" s="19">
        <f>IF(B14&gt;0,(B14-C14)/B14,0)</f>
        <v/>
      </c>
      <c r="E14" s="33">
        <f>Forecast!$F$6*B14*12</f>
        <v/>
      </c>
    </row>
    <row r="15">
      <c r="A15" s="9" t="n">
        <v>4000</v>
      </c>
      <c r="B15" s="21">
        <f>(Assumptions!$C$21+Assumptions!$C$33*Assumptions!$C$41*(Assumptions!$C$22+Assumptions!$C$25*MAX(0,$A15-Assumptions!$C$23)*UnitEconomics!$D$31)+Assumptions!$C$34*(Assumptions!$C$26+Assumptions!$C$25*MAX(0,UnitEconomics!$D$15-Assumptions!$C$27)*UnitEconomics!$D$39)+Assumptions!$C$35*Assumptions!$C$29+Assumptions!$C$36*Assumptions!$C$30+Assumptions!$C$37*(Assumptions!$C$116*Assumptions!$C$41+Assumptions!$C$123*Assumptions!$C$41*(1-Assumptions!$C$33)))</f>
        <v/>
      </c>
      <c r="C15" s="21">
        <f>(UnitEconomics!$D$71+Assumptions!$C$33*(Assumptions!$C$41*$A15*UnitEconomics!$D$27+(Assumptions!$C$41*Assumptions!$C$42+Assumptions!$C$43)*Assumptions!$C$98)+Assumptions!$C$34*(UnitEconomics!$D$15*UnitEconomics!$D$38+UnitEconomics!$D$35+UnitEconomics!$D$36)+Assumptions!$C$35*UnitEconomics!$D$74+Assumptions!$C$36*UnitEconomics!$D$75)</f>
        <v/>
      </c>
      <c r="D15" s="19">
        <f>IF(B15&gt;0,(B15-C15)/B15,0)</f>
        <v/>
      </c>
      <c r="E15" s="33">
        <f>Forecast!$F$6*B15*12</f>
        <v/>
      </c>
    </row>
    <row r="17">
      <c r="A17" s="5" t="inlineStr">
        <is>
          <t>Seats per tenant</t>
        </is>
      </c>
      <c r="B17" s="6" t="n"/>
      <c r="C17" s="6" t="n"/>
      <c r="D17" s="6" t="n"/>
      <c r="E17" s="6" t="n"/>
    </row>
    <row r="18" ht="30" customHeight="1">
      <c r="A18" s="4" t="inlineStr">
        <is>
          <t>Seats per tenant</t>
        </is>
      </c>
      <c r="B18" s="4" t="inlineStr">
        <is>
          <t>Revenue per tenant per month</t>
        </is>
      </c>
      <c r="C18" s="4" t="inlineStr">
        <is>
          <t>Cost per tenant per month</t>
        </is>
      </c>
      <c r="D18" s="4" t="inlineStr">
        <is>
          <t>Gross margin</t>
        </is>
      </c>
      <c r="E18" s="4" t="inlineStr">
        <is>
          <t>ARR at month 24, base scenario</t>
        </is>
      </c>
    </row>
    <row r="19">
      <c r="A19" s="9" t="n">
        <v>2</v>
      </c>
      <c r="B19" s="21">
        <f>(Assumptions!$C$21+Assumptions!$C$33*$A19*(Assumptions!$C$22+Assumptions!$C$25*MAX(0,UnitEconomics!$D$12-Assumptions!$C$23)*UnitEconomics!$D$31)+Assumptions!$C$34*(Assumptions!$C$26+Assumptions!$C$25*MAX(0,UnitEconomics!$D$15-Assumptions!$C$27)*UnitEconomics!$D$39)+Assumptions!$C$35*Assumptions!$C$29+Assumptions!$C$36*Assumptions!$C$30+Assumptions!$C$37*(Assumptions!$C$116*$A19+Assumptions!$C$123*$A19*(1-Assumptions!$C$33)))</f>
        <v/>
      </c>
      <c r="C19" s="21">
        <f>(UnitEconomics!$D$71+Assumptions!$C$33*($A19*UnitEconomics!$D$12*UnitEconomics!$D$27+($A19*Assumptions!$C$42+Assumptions!$C$43)*Assumptions!$C$98)+Assumptions!$C$34*(UnitEconomics!$D$15*UnitEconomics!$D$38+UnitEconomics!$D$35+UnitEconomics!$D$36)+Assumptions!$C$35*UnitEconomics!$D$74+Assumptions!$C$36*UnitEconomics!$D$75)</f>
        <v/>
      </c>
      <c r="D19" s="19">
        <f>IF(B19&gt;0,(B19-C19)/B19,0)</f>
        <v/>
      </c>
      <c r="E19" s="33">
        <f>Forecast!$F$6*B19*12</f>
        <v/>
      </c>
    </row>
    <row r="20">
      <c r="A20" s="9" t="n">
        <v>3</v>
      </c>
      <c r="B20" s="21">
        <f>(Assumptions!$C$21+Assumptions!$C$33*$A20*(Assumptions!$C$22+Assumptions!$C$25*MAX(0,UnitEconomics!$D$12-Assumptions!$C$23)*UnitEconomics!$D$31)+Assumptions!$C$34*(Assumptions!$C$26+Assumptions!$C$25*MAX(0,UnitEconomics!$D$15-Assumptions!$C$27)*UnitEconomics!$D$39)+Assumptions!$C$35*Assumptions!$C$29+Assumptions!$C$36*Assumptions!$C$30+Assumptions!$C$37*(Assumptions!$C$116*$A20+Assumptions!$C$123*$A20*(1-Assumptions!$C$33)))</f>
        <v/>
      </c>
      <c r="C20" s="21">
        <f>(UnitEconomics!$D$71+Assumptions!$C$33*($A20*UnitEconomics!$D$12*UnitEconomics!$D$27+($A20*Assumptions!$C$42+Assumptions!$C$43)*Assumptions!$C$98)+Assumptions!$C$34*(UnitEconomics!$D$15*UnitEconomics!$D$38+UnitEconomics!$D$35+UnitEconomics!$D$36)+Assumptions!$C$35*UnitEconomics!$D$74+Assumptions!$C$36*UnitEconomics!$D$75)</f>
        <v/>
      </c>
      <c r="D20" s="19">
        <f>IF(B20&gt;0,(B20-C20)/B20,0)</f>
        <v/>
      </c>
      <c r="E20" s="33">
        <f>Forecast!$F$6*B20*12</f>
        <v/>
      </c>
    </row>
    <row r="21">
      <c r="A21" s="9" t="n">
        <v>4</v>
      </c>
      <c r="B21" s="21">
        <f>(Assumptions!$C$21+Assumptions!$C$33*$A21*(Assumptions!$C$22+Assumptions!$C$25*MAX(0,UnitEconomics!$D$12-Assumptions!$C$23)*UnitEconomics!$D$31)+Assumptions!$C$34*(Assumptions!$C$26+Assumptions!$C$25*MAX(0,UnitEconomics!$D$15-Assumptions!$C$27)*UnitEconomics!$D$39)+Assumptions!$C$35*Assumptions!$C$29+Assumptions!$C$36*Assumptions!$C$30+Assumptions!$C$37*(Assumptions!$C$116*$A21+Assumptions!$C$123*$A21*(1-Assumptions!$C$33)))</f>
        <v/>
      </c>
      <c r="C21" s="21">
        <f>(UnitEconomics!$D$71+Assumptions!$C$33*($A21*UnitEconomics!$D$12*UnitEconomics!$D$27+($A21*Assumptions!$C$42+Assumptions!$C$43)*Assumptions!$C$98)+Assumptions!$C$34*(UnitEconomics!$D$15*UnitEconomics!$D$38+UnitEconomics!$D$35+UnitEconomics!$D$36)+Assumptions!$C$35*UnitEconomics!$D$74+Assumptions!$C$36*UnitEconomics!$D$75)</f>
        <v/>
      </c>
      <c r="D21" s="19">
        <f>IF(B21&gt;0,(B21-C21)/B21,0)</f>
        <v/>
      </c>
      <c r="E21" s="33">
        <f>Forecast!$F$6*B21*12</f>
        <v/>
      </c>
    </row>
    <row r="22">
      <c r="A22" s="9" t="n">
        <v>6</v>
      </c>
      <c r="B22" s="21">
        <f>(Assumptions!$C$21+Assumptions!$C$33*$A22*(Assumptions!$C$22+Assumptions!$C$25*MAX(0,UnitEconomics!$D$12-Assumptions!$C$23)*UnitEconomics!$D$31)+Assumptions!$C$34*(Assumptions!$C$26+Assumptions!$C$25*MAX(0,UnitEconomics!$D$15-Assumptions!$C$27)*UnitEconomics!$D$39)+Assumptions!$C$35*Assumptions!$C$29+Assumptions!$C$36*Assumptions!$C$30+Assumptions!$C$37*(Assumptions!$C$116*$A22+Assumptions!$C$123*$A22*(1-Assumptions!$C$33)))</f>
        <v/>
      </c>
      <c r="C22" s="21">
        <f>(UnitEconomics!$D$71+Assumptions!$C$33*($A22*UnitEconomics!$D$12*UnitEconomics!$D$27+($A22*Assumptions!$C$42+Assumptions!$C$43)*Assumptions!$C$98)+Assumptions!$C$34*(UnitEconomics!$D$15*UnitEconomics!$D$38+UnitEconomics!$D$35+UnitEconomics!$D$36)+Assumptions!$C$35*UnitEconomics!$D$74+Assumptions!$C$36*UnitEconomics!$D$75)</f>
        <v/>
      </c>
      <c r="D22" s="19">
        <f>IF(B22&gt;0,(B22-C22)/B22,0)</f>
        <v/>
      </c>
      <c r="E22" s="33">
        <f>Forecast!$F$6*B22*12</f>
        <v/>
      </c>
    </row>
    <row r="23">
      <c r="A23" s="9" t="n">
        <v>8</v>
      </c>
      <c r="B23" s="21">
        <f>(Assumptions!$C$21+Assumptions!$C$33*$A23*(Assumptions!$C$22+Assumptions!$C$25*MAX(0,UnitEconomics!$D$12-Assumptions!$C$23)*UnitEconomics!$D$31)+Assumptions!$C$34*(Assumptions!$C$26+Assumptions!$C$25*MAX(0,UnitEconomics!$D$15-Assumptions!$C$27)*UnitEconomics!$D$39)+Assumptions!$C$35*Assumptions!$C$29+Assumptions!$C$36*Assumptions!$C$30+Assumptions!$C$37*(Assumptions!$C$116*$A23+Assumptions!$C$123*$A23*(1-Assumptions!$C$33)))</f>
        <v/>
      </c>
      <c r="C23" s="21">
        <f>(UnitEconomics!$D$71+Assumptions!$C$33*($A23*UnitEconomics!$D$12*UnitEconomics!$D$27+($A23*Assumptions!$C$42+Assumptions!$C$43)*Assumptions!$C$98)+Assumptions!$C$34*(UnitEconomics!$D$15*UnitEconomics!$D$38+UnitEconomics!$D$35+UnitEconomics!$D$36)+Assumptions!$C$35*UnitEconomics!$D$74+Assumptions!$C$36*UnitEconomics!$D$75)</f>
        <v/>
      </c>
      <c r="D23" s="19">
        <f>IF(B23&gt;0,(B23-C23)/B23,0)</f>
        <v/>
      </c>
      <c r="E23" s="33">
        <f>Forecast!$F$6*B23*12</f>
        <v/>
      </c>
    </row>
    <row r="24">
      <c r="A24" s="9" t="n">
        <v>12</v>
      </c>
      <c r="B24" s="21">
        <f>(Assumptions!$C$21+Assumptions!$C$33*$A24*(Assumptions!$C$22+Assumptions!$C$25*MAX(0,UnitEconomics!$D$12-Assumptions!$C$23)*UnitEconomics!$D$31)+Assumptions!$C$34*(Assumptions!$C$26+Assumptions!$C$25*MAX(0,UnitEconomics!$D$15-Assumptions!$C$27)*UnitEconomics!$D$39)+Assumptions!$C$35*Assumptions!$C$29+Assumptions!$C$36*Assumptions!$C$30+Assumptions!$C$37*(Assumptions!$C$116*$A24+Assumptions!$C$123*$A24*(1-Assumptions!$C$33)))</f>
        <v/>
      </c>
      <c r="C24" s="21">
        <f>(UnitEconomics!$D$71+Assumptions!$C$33*($A24*UnitEconomics!$D$12*UnitEconomics!$D$27+($A24*Assumptions!$C$42+Assumptions!$C$43)*Assumptions!$C$98)+Assumptions!$C$34*(UnitEconomics!$D$15*UnitEconomics!$D$38+UnitEconomics!$D$35+UnitEconomics!$D$36)+Assumptions!$C$35*UnitEconomics!$D$74+Assumptions!$C$36*UnitEconomics!$D$75)</f>
        <v/>
      </c>
      <c r="D24" s="19">
        <f>IF(B24&gt;0,(B24-C24)/B24,0)</f>
        <v/>
      </c>
      <c r="E24" s="33">
        <f>Forecast!$F$6*B24*12</f>
        <v/>
      </c>
    </row>
    <row r="26">
      <c r="A26" s="5" t="inlineStr">
        <is>
          <t>Outbound SMS segments per tenant per month</t>
        </is>
      </c>
      <c r="B26" s="6" t="n"/>
      <c r="C26" s="6" t="n"/>
      <c r="D26" s="6" t="n"/>
      <c r="E26" s="6" t="n"/>
    </row>
    <row r="27" ht="30" customHeight="1">
      <c r="A27" s="4" t="inlineStr">
        <is>
          <t>Outbound SMS segments per tenant per month</t>
        </is>
      </c>
      <c r="B27" s="4" t="inlineStr">
        <is>
          <t>Revenue per tenant per month</t>
        </is>
      </c>
      <c r="C27" s="4" t="inlineStr">
        <is>
          <t>Cost per tenant per month</t>
        </is>
      </c>
      <c r="D27" s="4" t="inlineStr">
        <is>
          <t>Gross margin</t>
        </is>
      </c>
      <c r="E27" s="4" t="inlineStr">
        <is>
          <t>ARR at month 24, base scenario</t>
        </is>
      </c>
    </row>
    <row r="28">
      <c r="A28" s="9" t="n">
        <v>500</v>
      </c>
      <c r="B28" s="21">
        <f>(Assumptions!$C$21+Assumptions!$C$33*Assumptions!$C$41*(Assumptions!$C$22+Assumptions!$C$25*MAX(0,UnitEconomics!$D$12-Assumptions!$C$23)*UnitEconomics!$D$31)+Assumptions!$C$34*(Assumptions!$C$26+Assumptions!$C$25*MAX(0,$A28-Assumptions!$C$27)*UnitEconomics!$D$39)+Assumptions!$C$35*Assumptions!$C$29+Assumptions!$C$36*Assumptions!$C$30+Assumptions!$C$37*(Assumptions!$C$116*Assumptions!$C$41+Assumptions!$C$123*Assumptions!$C$41*(1-Assumptions!$C$33)))</f>
        <v/>
      </c>
      <c r="C28" s="21">
        <f>(UnitEconomics!$D$71+Assumptions!$C$33*(Assumptions!$C$41*UnitEconomics!$D$12*UnitEconomics!$D$27+(Assumptions!$C$41*Assumptions!$C$42+Assumptions!$C$43)*Assumptions!$C$98)+Assumptions!$C$34*($A28*UnitEconomics!$D$38+UnitEconomics!$D$35+UnitEconomics!$D$36)+Assumptions!$C$35*UnitEconomics!$D$74+Assumptions!$C$36*UnitEconomics!$D$75)</f>
        <v/>
      </c>
      <c r="D28" s="19">
        <f>IF(B28&gt;0,(B28-C28)/B28,0)</f>
        <v/>
      </c>
      <c r="E28" s="33">
        <f>Forecast!$F$6*B28*12</f>
        <v/>
      </c>
    </row>
    <row r="29">
      <c r="A29" s="9" t="n">
        <v>1000</v>
      </c>
      <c r="B29" s="21">
        <f>(Assumptions!$C$21+Assumptions!$C$33*Assumptions!$C$41*(Assumptions!$C$22+Assumptions!$C$25*MAX(0,UnitEconomics!$D$12-Assumptions!$C$23)*UnitEconomics!$D$31)+Assumptions!$C$34*(Assumptions!$C$26+Assumptions!$C$25*MAX(0,$A29-Assumptions!$C$27)*UnitEconomics!$D$39)+Assumptions!$C$35*Assumptions!$C$29+Assumptions!$C$36*Assumptions!$C$30+Assumptions!$C$37*(Assumptions!$C$116*Assumptions!$C$41+Assumptions!$C$123*Assumptions!$C$41*(1-Assumptions!$C$33)))</f>
        <v/>
      </c>
      <c r="C29" s="21">
        <f>(UnitEconomics!$D$71+Assumptions!$C$33*(Assumptions!$C$41*UnitEconomics!$D$12*UnitEconomics!$D$27+(Assumptions!$C$41*Assumptions!$C$42+Assumptions!$C$43)*Assumptions!$C$98)+Assumptions!$C$34*($A29*UnitEconomics!$D$38+UnitEconomics!$D$35+UnitEconomics!$D$36)+Assumptions!$C$35*UnitEconomics!$D$74+Assumptions!$C$36*UnitEconomics!$D$75)</f>
        <v/>
      </c>
      <c r="D29" s="19">
        <f>IF(B29&gt;0,(B29-C29)/B29,0)</f>
        <v/>
      </c>
      <c r="E29" s="33">
        <f>Forecast!$F$6*B29*12</f>
        <v/>
      </c>
    </row>
    <row r="30">
      <c r="A30" s="9" t="n">
        <v>2500</v>
      </c>
      <c r="B30" s="21">
        <f>(Assumptions!$C$21+Assumptions!$C$33*Assumptions!$C$41*(Assumptions!$C$22+Assumptions!$C$25*MAX(0,UnitEconomics!$D$12-Assumptions!$C$23)*UnitEconomics!$D$31)+Assumptions!$C$34*(Assumptions!$C$26+Assumptions!$C$25*MAX(0,$A30-Assumptions!$C$27)*UnitEconomics!$D$39)+Assumptions!$C$35*Assumptions!$C$29+Assumptions!$C$36*Assumptions!$C$30+Assumptions!$C$37*(Assumptions!$C$116*Assumptions!$C$41+Assumptions!$C$123*Assumptions!$C$41*(1-Assumptions!$C$33)))</f>
        <v/>
      </c>
      <c r="C30" s="21">
        <f>(UnitEconomics!$D$71+Assumptions!$C$33*(Assumptions!$C$41*UnitEconomics!$D$12*UnitEconomics!$D$27+(Assumptions!$C$41*Assumptions!$C$42+Assumptions!$C$43)*Assumptions!$C$98)+Assumptions!$C$34*($A30*UnitEconomics!$D$38+UnitEconomics!$D$35+UnitEconomics!$D$36)+Assumptions!$C$35*UnitEconomics!$D$74+Assumptions!$C$36*UnitEconomics!$D$75)</f>
        <v/>
      </c>
      <c r="D30" s="19">
        <f>IF(B30&gt;0,(B30-C30)/B30,0)</f>
        <v/>
      </c>
      <c r="E30" s="33">
        <f>Forecast!$F$6*B30*12</f>
        <v/>
      </c>
    </row>
    <row r="31">
      <c r="A31" s="9" t="n">
        <v>5000</v>
      </c>
      <c r="B31" s="21">
        <f>(Assumptions!$C$21+Assumptions!$C$33*Assumptions!$C$41*(Assumptions!$C$22+Assumptions!$C$25*MAX(0,UnitEconomics!$D$12-Assumptions!$C$23)*UnitEconomics!$D$31)+Assumptions!$C$34*(Assumptions!$C$26+Assumptions!$C$25*MAX(0,$A31-Assumptions!$C$27)*UnitEconomics!$D$39)+Assumptions!$C$35*Assumptions!$C$29+Assumptions!$C$36*Assumptions!$C$30+Assumptions!$C$37*(Assumptions!$C$116*Assumptions!$C$41+Assumptions!$C$123*Assumptions!$C$41*(1-Assumptions!$C$33)))</f>
        <v/>
      </c>
      <c r="C31" s="21">
        <f>(UnitEconomics!$D$71+Assumptions!$C$33*(Assumptions!$C$41*UnitEconomics!$D$12*UnitEconomics!$D$27+(Assumptions!$C$41*Assumptions!$C$42+Assumptions!$C$43)*Assumptions!$C$98)+Assumptions!$C$34*($A31*UnitEconomics!$D$38+UnitEconomics!$D$35+UnitEconomics!$D$36)+Assumptions!$C$35*UnitEconomics!$D$74+Assumptions!$C$36*UnitEconomics!$D$75)</f>
        <v/>
      </c>
      <c r="D31" s="19">
        <f>IF(B31&gt;0,(B31-C31)/B31,0)</f>
        <v/>
      </c>
      <c r="E31" s="33">
        <f>Forecast!$F$6*B31*12</f>
        <v/>
      </c>
    </row>
    <row r="32">
      <c r="A32" s="9" t="n">
        <v>7500</v>
      </c>
      <c r="B32" s="21">
        <f>(Assumptions!$C$21+Assumptions!$C$33*Assumptions!$C$41*(Assumptions!$C$22+Assumptions!$C$25*MAX(0,UnitEconomics!$D$12-Assumptions!$C$23)*UnitEconomics!$D$31)+Assumptions!$C$34*(Assumptions!$C$26+Assumptions!$C$25*MAX(0,$A32-Assumptions!$C$27)*UnitEconomics!$D$39)+Assumptions!$C$35*Assumptions!$C$29+Assumptions!$C$36*Assumptions!$C$30+Assumptions!$C$37*(Assumptions!$C$116*Assumptions!$C$41+Assumptions!$C$123*Assumptions!$C$41*(1-Assumptions!$C$33)))</f>
        <v/>
      </c>
      <c r="C32" s="21">
        <f>(UnitEconomics!$D$71+Assumptions!$C$33*(Assumptions!$C$41*UnitEconomics!$D$12*UnitEconomics!$D$27+(Assumptions!$C$41*Assumptions!$C$42+Assumptions!$C$43)*Assumptions!$C$98)+Assumptions!$C$34*($A32*UnitEconomics!$D$38+UnitEconomics!$D$35+UnitEconomics!$D$36)+Assumptions!$C$35*UnitEconomics!$D$74+Assumptions!$C$36*UnitEconomics!$D$75)</f>
        <v/>
      </c>
      <c r="D32" s="19">
        <f>IF(B32&gt;0,(B32-C32)/B32,0)</f>
        <v/>
      </c>
      <c r="E32" s="33">
        <f>Forecast!$F$6*B32*12</f>
        <v/>
      </c>
    </row>
    <row r="33">
      <c r="A33" s="9" t="n">
        <v>10000</v>
      </c>
      <c r="B33" s="21">
        <f>(Assumptions!$C$21+Assumptions!$C$33*Assumptions!$C$41*(Assumptions!$C$22+Assumptions!$C$25*MAX(0,UnitEconomics!$D$12-Assumptions!$C$23)*UnitEconomics!$D$31)+Assumptions!$C$34*(Assumptions!$C$26+Assumptions!$C$25*MAX(0,$A33-Assumptions!$C$27)*UnitEconomics!$D$39)+Assumptions!$C$35*Assumptions!$C$29+Assumptions!$C$36*Assumptions!$C$30+Assumptions!$C$37*(Assumptions!$C$116*Assumptions!$C$41+Assumptions!$C$123*Assumptions!$C$41*(1-Assumptions!$C$33)))</f>
        <v/>
      </c>
      <c r="C33" s="21">
        <f>(UnitEconomics!$D$71+Assumptions!$C$33*(Assumptions!$C$41*UnitEconomics!$D$12*UnitEconomics!$D$27+(Assumptions!$C$41*Assumptions!$C$42+Assumptions!$C$43)*Assumptions!$C$98)+Assumptions!$C$34*($A33*UnitEconomics!$D$38+UnitEconomics!$D$35+UnitEconomics!$D$36)+Assumptions!$C$35*UnitEconomics!$D$74+Assumptions!$C$36*UnitEconomics!$D$75)</f>
        <v/>
      </c>
      <c r="D33" s="19">
        <f>IF(B33&gt;0,(B33-C33)/B33,0)</f>
        <v/>
      </c>
      <c r="E33" s="33">
        <f>Forecast!$F$6*B33*12</f>
        <v/>
      </c>
    </row>
    <row r="34">
      <c r="A34" s="9" t="n">
        <v>20000</v>
      </c>
      <c r="B34" s="21">
        <f>(Assumptions!$C$21+Assumptions!$C$33*Assumptions!$C$41*(Assumptions!$C$22+Assumptions!$C$25*MAX(0,UnitEconomics!$D$12-Assumptions!$C$23)*UnitEconomics!$D$31)+Assumptions!$C$34*(Assumptions!$C$26+Assumptions!$C$25*MAX(0,$A34-Assumptions!$C$27)*UnitEconomics!$D$39)+Assumptions!$C$35*Assumptions!$C$29+Assumptions!$C$36*Assumptions!$C$30+Assumptions!$C$37*(Assumptions!$C$116*Assumptions!$C$41+Assumptions!$C$123*Assumptions!$C$41*(1-Assumptions!$C$33)))</f>
        <v/>
      </c>
      <c r="C34" s="21">
        <f>(UnitEconomics!$D$71+Assumptions!$C$33*(Assumptions!$C$41*UnitEconomics!$D$12*UnitEconomics!$D$27+(Assumptions!$C$41*Assumptions!$C$42+Assumptions!$C$43)*Assumptions!$C$98)+Assumptions!$C$34*($A34*UnitEconomics!$D$38+UnitEconomics!$D$35+UnitEconomics!$D$36)+Assumptions!$C$35*UnitEconomics!$D$74+Assumptions!$C$36*UnitEconomics!$D$75)</f>
        <v/>
      </c>
      <c r="D34" s="19">
        <f>IF(B34&gt;0,(B34-C34)/B34,0)</f>
        <v/>
      </c>
      <c r="E34" s="33">
        <f>Forecast!$F$6*B34*12</f>
        <v/>
      </c>
    </row>
    <row r="36">
      <c r="A36" s="5" t="inlineStr">
        <is>
          <t>Dialer attach rate</t>
        </is>
      </c>
      <c r="B36" s="6" t="n"/>
      <c r="C36" s="6" t="n"/>
      <c r="D36" s="6" t="n"/>
      <c r="E36" s="6" t="n"/>
    </row>
    <row r="37" ht="30" customHeight="1">
      <c r="A37" s="4" t="inlineStr">
        <is>
          <t>Dialer attach rate</t>
        </is>
      </c>
      <c r="B37" s="4" t="inlineStr">
        <is>
          <t>Revenue per tenant per month</t>
        </is>
      </c>
      <c r="C37" s="4" t="inlineStr">
        <is>
          <t>Cost per tenant per month</t>
        </is>
      </c>
      <c r="D37" s="4" t="inlineStr">
        <is>
          <t>Gross margin</t>
        </is>
      </c>
      <c r="E37" s="4" t="inlineStr">
        <is>
          <t>ARR at month 24, base scenario</t>
        </is>
      </c>
    </row>
    <row r="38">
      <c r="A38" s="16" t="n">
        <v>0.2</v>
      </c>
      <c r="B38" s="21">
        <f>(Assumptions!$C$21+$A38*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38)))</f>
        <v/>
      </c>
      <c r="C38" s="21">
        <f>(UnitEconomics!$D$71+$A38*(Assumptions!$C$41*UnitEconomics!$D$12*UnitEconomics!$D$27+(Assumptions!$C$41*Assumptions!$C$42+Assumptions!$C$43)*Assumptions!$C$98)+Assumptions!$C$34*(UnitEconomics!$D$15*UnitEconomics!$D$38+UnitEconomics!$D$35+UnitEconomics!$D$36)+Assumptions!$C$35*UnitEconomics!$D$74+Assumptions!$C$36*UnitEconomics!$D$75)</f>
        <v/>
      </c>
      <c r="D38" s="19">
        <f>IF(B38&gt;0,(B38-C38)/B38,0)</f>
        <v/>
      </c>
      <c r="E38" s="33">
        <f>Forecast!$F$6*B38*12</f>
        <v/>
      </c>
    </row>
    <row r="39">
      <c r="A39" s="16" t="n">
        <v>0.4</v>
      </c>
      <c r="B39" s="21">
        <f>(Assumptions!$C$21+$A39*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39)))</f>
        <v/>
      </c>
      <c r="C39" s="21">
        <f>(UnitEconomics!$D$71+$A39*(Assumptions!$C$41*UnitEconomics!$D$12*UnitEconomics!$D$27+(Assumptions!$C$41*Assumptions!$C$42+Assumptions!$C$43)*Assumptions!$C$98)+Assumptions!$C$34*(UnitEconomics!$D$15*UnitEconomics!$D$38+UnitEconomics!$D$35+UnitEconomics!$D$36)+Assumptions!$C$35*UnitEconomics!$D$74+Assumptions!$C$36*UnitEconomics!$D$75)</f>
        <v/>
      </c>
      <c r="D39" s="19">
        <f>IF(B39&gt;0,(B39-C39)/B39,0)</f>
        <v/>
      </c>
      <c r="E39" s="33">
        <f>Forecast!$F$6*B39*12</f>
        <v/>
      </c>
    </row>
    <row r="40">
      <c r="A40" s="16" t="n">
        <v>0.6</v>
      </c>
      <c r="B40" s="21">
        <f>(Assumptions!$C$21+$A40*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40)))</f>
        <v/>
      </c>
      <c r="C40" s="21">
        <f>(UnitEconomics!$D$71+$A40*(Assumptions!$C$41*UnitEconomics!$D$12*UnitEconomics!$D$27+(Assumptions!$C$41*Assumptions!$C$42+Assumptions!$C$43)*Assumptions!$C$98)+Assumptions!$C$34*(UnitEconomics!$D$15*UnitEconomics!$D$38+UnitEconomics!$D$35+UnitEconomics!$D$36)+Assumptions!$C$35*UnitEconomics!$D$74+Assumptions!$C$36*UnitEconomics!$D$75)</f>
        <v/>
      </c>
      <c r="D40" s="19">
        <f>IF(B40&gt;0,(B40-C40)/B40,0)</f>
        <v/>
      </c>
      <c r="E40" s="33">
        <f>Forecast!$F$6*B40*12</f>
        <v/>
      </c>
    </row>
    <row r="41">
      <c r="A41" s="16" t="n">
        <v>0.8</v>
      </c>
      <c r="B41" s="21">
        <f>(Assumptions!$C$21+$A41*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41)))</f>
        <v/>
      </c>
      <c r="C41" s="21">
        <f>(UnitEconomics!$D$71+$A41*(Assumptions!$C$41*UnitEconomics!$D$12*UnitEconomics!$D$27+(Assumptions!$C$41*Assumptions!$C$42+Assumptions!$C$43)*Assumptions!$C$98)+Assumptions!$C$34*(UnitEconomics!$D$15*UnitEconomics!$D$38+UnitEconomics!$D$35+UnitEconomics!$D$36)+Assumptions!$C$35*UnitEconomics!$D$74+Assumptions!$C$36*UnitEconomics!$D$75)</f>
        <v/>
      </c>
      <c r="D41" s="19">
        <f>IF(B41&gt;0,(B41-C41)/B41,0)</f>
        <v/>
      </c>
      <c r="E41" s="33">
        <f>Forecast!$F$6*B41*12</f>
        <v/>
      </c>
    </row>
    <row r="42">
      <c r="A42" s="16" t="n">
        <v>1</v>
      </c>
      <c r="B42" s="21">
        <f>(Assumptions!$C$21+$A42*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42)))</f>
        <v/>
      </c>
      <c r="C42" s="21">
        <f>(UnitEconomics!$D$71+$A42*(Assumptions!$C$41*UnitEconomics!$D$12*UnitEconomics!$D$27+(Assumptions!$C$41*Assumptions!$C$42+Assumptions!$C$43)*Assumptions!$C$98)+Assumptions!$C$34*(UnitEconomics!$D$15*UnitEconomics!$D$38+UnitEconomics!$D$35+UnitEconomics!$D$36)+Assumptions!$C$35*UnitEconomics!$D$74+Assumptions!$C$36*UnitEconomics!$D$75)</f>
        <v/>
      </c>
      <c r="D42" s="19">
        <f>IF(B42&gt;0,(B42-C42)/B42,0)</f>
        <v/>
      </c>
      <c r="E42" s="33">
        <f>Forecast!$F$6*B42*12</f>
        <v/>
      </c>
    </row>
    <row r="44">
      <c r="A44" s="5" t="inlineStr">
        <is>
          <t>SMS attach rate</t>
        </is>
      </c>
      <c r="B44" s="6" t="n"/>
      <c r="C44" s="6" t="n"/>
      <c r="D44" s="6" t="n"/>
      <c r="E44" s="6" t="n"/>
    </row>
    <row r="45" ht="30" customHeight="1">
      <c r="A45" s="4" t="inlineStr">
        <is>
          <t>SMS attach rate</t>
        </is>
      </c>
      <c r="B45" s="4" t="inlineStr">
        <is>
          <t>Revenue per tenant per month</t>
        </is>
      </c>
      <c r="C45" s="4" t="inlineStr">
        <is>
          <t>Cost per tenant per month</t>
        </is>
      </c>
      <c r="D45" s="4" t="inlineStr">
        <is>
          <t>Gross margin</t>
        </is>
      </c>
      <c r="E45" s="4" t="inlineStr">
        <is>
          <t>ARR at month 24, base scenario</t>
        </is>
      </c>
    </row>
    <row r="46">
      <c r="A46" s="16" t="n">
        <v>0.2</v>
      </c>
      <c r="B46" s="21">
        <f>(Assumptions!$C$21+Assumptions!$C$33*Assumptions!$C$41*(Assumptions!$C$22+Assumptions!$C$25*MAX(0,UnitEconomics!$D$12-Assumptions!$C$23)*UnitEconomics!$D$31)+$A46*(Assumptions!$C$26+Assumptions!$C$25*MAX(0,UnitEconomics!$D$15-Assumptions!$C$27)*UnitEconomics!$D$39)+Assumptions!$C$35*Assumptions!$C$29+Assumptions!$C$36*Assumptions!$C$30+Assumptions!$C$37*(Assumptions!$C$116*Assumptions!$C$41+Assumptions!$C$123*Assumptions!$C$41*(1-Assumptions!$C$33)))</f>
        <v/>
      </c>
      <c r="C46" s="21">
        <f>(UnitEconomics!$D$71+Assumptions!$C$33*(Assumptions!$C$41*UnitEconomics!$D$12*UnitEconomics!$D$27+(Assumptions!$C$41*Assumptions!$C$42+Assumptions!$C$43)*Assumptions!$C$98)+$A46*(UnitEconomics!$D$15*UnitEconomics!$D$38+UnitEconomics!$D$35+UnitEconomics!$D$36)+Assumptions!$C$35*UnitEconomics!$D$74+Assumptions!$C$36*UnitEconomics!$D$75)</f>
        <v/>
      </c>
      <c r="D46" s="19">
        <f>IF(B46&gt;0,(B46-C46)/B46,0)</f>
        <v/>
      </c>
      <c r="E46" s="33">
        <f>Forecast!$F$6*B46*12</f>
        <v/>
      </c>
    </row>
    <row r="47">
      <c r="A47" s="16" t="n">
        <v>0.35</v>
      </c>
      <c r="B47" s="21">
        <f>(Assumptions!$C$21+Assumptions!$C$33*Assumptions!$C$41*(Assumptions!$C$22+Assumptions!$C$25*MAX(0,UnitEconomics!$D$12-Assumptions!$C$23)*UnitEconomics!$D$31)+$A47*(Assumptions!$C$26+Assumptions!$C$25*MAX(0,UnitEconomics!$D$15-Assumptions!$C$27)*UnitEconomics!$D$39)+Assumptions!$C$35*Assumptions!$C$29+Assumptions!$C$36*Assumptions!$C$30+Assumptions!$C$37*(Assumptions!$C$116*Assumptions!$C$41+Assumptions!$C$123*Assumptions!$C$41*(1-Assumptions!$C$33)))</f>
        <v/>
      </c>
      <c r="C47" s="21">
        <f>(UnitEconomics!$D$71+Assumptions!$C$33*(Assumptions!$C$41*UnitEconomics!$D$12*UnitEconomics!$D$27+(Assumptions!$C$41*Assumptions!$C$42+Assumptions!$C$43)*Assumptions!$C$98)+$A47*(UnitEconomics!$D$15*UnitEconomics!$D$38+UnitEconomics!$D$35+UnitEconomics!$D$36)+Assumptions!$C$35*UnitEconomics!$D$74+Assumptions!$C$36*UnitEconomics!$D$75)</f>
        <v/>
      </c>
      <c r="D47" s="19">
        <f>IF(B47&gt;0,(B47-C47)/B47,0)</f>
        <v/>
      </c>
      <c r="E47" s="33">
        <f>Forecast!$F$6*B47*12</f>
        <v/>
      </c>
    </row>
    <row r="48">
      <c r="A48" s="16" t="n">
        <v>0.5</v>
      </c>
      <c r="B48" s="21">
        <f>(Assumptions!$C$21+Assumptions!$C$33*Assumptions!$C$41*(Assumptions!$C$22+Assumptions!$C$25*MAX(0,UnitEconomics!$D$12-Assumptions!$C$23)*UnitEconomics!$D$31)+$A48*(Assumptions!$C$26+Assumptions!$C$25*MAX(0,UnitEconomics!$D$15-Assumptions!$C$27)*UnitEconomics!$D$39)+Assumptions!$C$35*Assumptions!$C$29+Assumptions!$C$36*Assumptions!$C$30+Assumptions!$C$37*(Assumptions!$C$116*Assumptions!$C$41+Assumptions!$C$123*Assumptions!$C$41*(1-Assumptions!$C$33)))</f>
        <v/>
      </c>
      <c r="C48" s="21">
        <f>(UnitEconomics!$D$71+Assumptions!$C$33*(Assumptions!$C$41*UnitEconomics!$D$12*UnitEconomics!$D$27+(Assumptions!$C$41*Assumptions!$C$42+Assumptions!$C$43)*Assumptions!$C$98)+$A48*(UnitEconomics!$D$15*UnitEconomics!$D$38+UnitEconomics!$D$35+UnitEconomics!$D$36)+Assumptions!$C$35*UnitEconomics!$D$74+Assumptions!$C$36*UnitEconomics!$D$75)</f>
        <v/>
      </c>
      <c r="D48" s="19">
        <f>IF(B48&gt;0,(B48-C48)/B48,0)</f>
        <v/>
      </c>
      <c r="E48" s="33">
        <f>Forecast!$F$6*B48*12</f>
        <v/>
      </c>
    </row>
    <row r="49">
      <c r="A49" s="16" t="n">
        <v>0.65</v>
      </c>
      <c r="B49" s="21">
        <f>(Assumptions!$C$21+Assumptions!$C$33*Assumptions!$C$41*(Assumptions!$C$22+Assumptions!$C$25*MAX(0,UnitEconomics!$D$12-Assumptions!$C$23)*UnitEconomics!$D$31)+$A49*(Assumptions!$C$26+Assumptions!$C$25*MAX(0,UnitEconomics!$D$15-Assumptions!$C$27)*UnitEconomics!$D$39)+Assumptions!$C$35*Assumptions!$C$29+Assumptions!$C$36*Assumptions!$C$30+Assumptions!$C$37*(Assumptions!$C$116*Assumptions!$C$41+Assumptions!$C$123*Assumptions!$C$41*(1-Assumptions!$C$33)))</f>
        <v/>
      </c>
      <c r="C49" s="21">
        <f>(UnitEconomics!$D$71+Assumptions!$C$33*(Assumptions!$C$41*UnitEconomics!$D$12*UnitEconomics!$D$27+(Assumptions!$C$41*Assumptions!$C$42+Assumptions!$C$43)*Assumptions!$C$98)+$A49*(UnitEconomics!$D$15*UnitEconomics!$D$38+UnitEconomics!$D$35+UnitEconomics!$D$36)+Assumptions!$C$35*UnitEconomics!$D$74+Assumptions!$C$36*UnitEconomics!$D$75)</f>
        <v/>
      </c>
      <c r="D49" s="19">
        <f>IF(B49&gt;0,(B49-C49)/B49,0)</f>
        <v/>
      </c>
      <c r="E49" s="33">
        <f>Forecast!$F$6*B49*12</f>
        <v/>
      </c>
    </row>
    <row r="50">
      <c r="A50" s="16" t="n">
        <v>0.8</v>
      </c>
      <c r="B50" s="21">
        <f>(Assumptions!$C$21+Assumptions!$C$33*Assumptions!$C$41*(Assumptions!$C$22+Assumptions!$C$25*MAX(0,UnitEconomics!$D$12-Assumptions!$C$23)*UnitEconomics!$D$31)+$A50*(Assumptions!$C$26+Assumptions!$C$25*MAX(0,UnitEconomics!$D$15-Assumptions!$C$27)*UnitEconomics!$D$39)+Assumptions!$C$35*Assumptions!$C$29+Assumptions!$C$36*Assumptions!$C$30+Assumptions!$C$37*(Assumptions!$C$116*Assumptions!$C$41+Assumptions!$C$123*Assumptions!$C$41*(1-Assumptions!$C$33)))</f>
        <v/>
      </c>
      <c r="C50" s="21">
        <f>(UnitEconomics!$D$71+Assumptions!$C$33*(Assumptions!$C$41*UnitEconomics!$D$12*UnitEconomics!$D$27+(Assumptions!$C$41*Assumptions!$C$42+Assumptions!$C$43)*Assumptions!$C$98)+$A50*(UnitEconomics!$D$15*UnitEconomics!$D$38+UnitEconomics!$D$35+UnitEconomics!$D$36)+Assumptions!$C$35*UnitEconomics!$D$74+Assumptions!$C$36*UnitEconomics!$D$75)</f>
        <v/>
      </c>
      <c r="D50" s="19">
        <f>IF(B50&gt;0,(B50-C50)/B50,0)</f>
        <v/>
      </c>
      <c r="E50" s="33">
        <f>Forecast!$F$6*B50*12</f>
        <v/>
      </c>
    </row>
    <row r="52">
      <c r="A52" s="5" t="inlineStr">
        <is>
          <t>Compliance attach rate</t>
        </is>
      </c>
      <c r="B52" s="6" t="n"/>
      <c r="C52" s="6" t="n"/>
      <c r="D52" s="6" t="n"/>
      <c r="E52" s="6" t="n"/>
    </row>
    <row r="53" ht="30" customHeight="1">
      <c r="A53" s="4" t="inlineStr">
        <is>
          <t>Compliance attach rate</t>
        </is>
      </c>
      <c r="B53" s="4" t="inlineStr">
        <is>
          <t>Revenue per tenant per month</t>
        </is>
      </c>
      <c r="C53" s="4" t="inlineStr">
        <is>
          <t>Cost per tenant per month</t>
        </is>
      </c>
      <c r="D53" s="4" t="inlineStr">
        <is>
          <t>Gross margin</t>
        </is>
      </c>
      <c r="E53" s="4" t="inlineStr">
        <is>
          <t>ARR at month 24, base scenario</t>
        </is>
      </c>
    </row>
    <row r="54">
      <c r="A54" s="16" t="n">
        <v>0.1</v>
      </c>
      <c r="B54" s="21">
        <f>(Assumptions!$C$21+Assumptions!$C$33*Assumptions!$C$41*(Assumptions!$C$22+Assumptions!$C$25*MAX(0,UnitEconomics!$D$12-Assumptions!$C$23)*UnitEconomics!$D$31)+Assumptions!$C$34*(Assumptions!$C$26+Assumptions!$C$25*MAX(0,UnitEconomics!$D$15-Assumptions!$C$27)*UnitEconomics!$D$39)+$A54*Assumptions!$C$29+Assumptions!$C$36*Assumptions!$C$30+Assumptions!$C$37*(Assumptions!$C$116*Assumptions!$C$41+Assumptions!$C$123*Assumptions!$C$41*(1-Assumptions!$C$33)))</f>
        <v/>
      </c>
      <c r="C54" s="21">
        <f>(UnitEconomics!$D$71+Assumptions!$C$33*(Assumptions!$C$41*UnitEconomics!$D$12*UnitEconomics!$D$27+(Assumptions!$C$41*Assumptions!$C$42+Assumptions!$C$43)*Assumptions!$C$98)+Assumptions!$C$34*(UnitEconomics!$D$15*UnitEconomics!$D$38+UnitEconomics!$D$35+UnitEconomics!$D$36)+$A54*UnitEconomics!$D$74+Assumptions!$C$36*UnitEconomics!$D$75)</f>
        <v/>
      </c>
      <c r="D54" s="19">
        <f>IF(B54&gt;0,(B54-C54)/B54,0)</f>
        <v/>
      </c>
      <c r="E54" s="33">
        <f>Forecast!$F$6*B54*12</f>
        <v/>
      </c>
    </row>
    <row r="55">
      <c r="A55" s="16" t="n">
        <v>0.25</v>
      </c>
      <c r="B55" s="21">
        <f>(Assumptions!$C$21+Assumptions!$C$33*Assumptions!$C$41*(Assumptions!$C$22+Assumptions!$C$25*MAX(0,UnitEconomics!$D$12-Assumptions!$C$23)*UnitEconomics!$D$31)+Assumptions!$C$34*(Assumptions!$C$26+Assumptions!$C$25*MAX(0,UnitEconomics!$D$15-Assumptions!$C$27)*UnitEconomics!$D$39)+$A55*Assumptions!$C$29+Assumptions!$C$36*Assumptions!$C$30+Assumptions!$C$37*(Assumptions!$C$116*Assumptions!$C$41+Assumptions!$C$123*Assumptions!$C$41*(1-Assumptions!$C$33)))</f>
        <v/>
      </c>
      <c r="C55" s="21">
        <f>(UnitEconomics!$D$71+Assumptions!$C$33*(Assumptions!$C$41*UnitEconomics!$D$12*UnitEconomics!$D$27+(Assumptions!$C$41*Assumptions!$C$42+Assumptions!$C$43)*Assumptions!$C$98)+Assumptions!$C$34*(UnitEconomics!$D$15*UnitEconomics!$D$38+UnitEconomics!$D$35+UnitEconomics!$D$36)+$A55*UnitEconomics!$D$74+Assumptions!$C$36*UnitEconomics!$D$75)</f>
        <v/>
      </c>
      <c r="D55" s="19">
        <f>IF(B55&gt;0,(B55-C55)/B55,0)</f>
        <v/>
      </c>
      <c r="E55" s="33">
        <f>Forecast!$F$6*B55*12</f>
        <v/>
      </c>
    </row>
    <row r="56">
      <c r="A56" s="16" t="n">
        <v>0.4</v>
      </c>
      <c r="B56" s="21">
        <f>(Assumptions!$C$21+Assumptions!$C$33*Assumptions!$C$41*(Assumptions!$C$22+Assumptions!$C$25*MAX(0,UnitEconomics!$D$12-Assumptions!$C$23)*UnitEconomics!$D$31)+Assumptions!$C$34*(Assumptions!$C$26+Assumptions!$C$25*MAX(0,UnitEconomics!$D$15-Assumptions!$C$27)*UnitEconomics!$D$39)+$A56*Assumptions!$C$29+Assumptions!$C$36*Assumptions!$C$30+Assumptions!$C$37*(Assumptions!$C$116*Assumptions!$C$41+Assumptions!$C$123*Assumptions!$C$41*(1-Assumptions!$C$33)))</f>
        <v/>
      </c>
      <c r="C56" s="21">
        <f>(UnitEconomics!$D$71+Assumptions!$C$33*(Assumptions!$C$41*UnitEconomics!$D$12*UnitEconomics!$D$27+(Assumptions!$C$41*Assumptions!$C$42+Assumptions!$C$43)*Assumptions!$C$98)+Assumptions!$C$34*(UnitEconomics!$D$15*UnitEconomics!$D$38+UnitEconomics!$D$35+UnitEconomics!$D$36)+$A56*UnitEconomics!$D$74+Assumptions!$C$36*UnitEconomics!$D$75)</f>
        <v/>
      </c>
      <c r="D56" s="19">
        <f>IF(B56&gt;0,(B56-C56)/B56,0)</f>
        <v/>
      </c>
      <c r="E56" s="33">
        <f>Forecast!$F$6*B56*12</f>
        <v/>
      </c>
    </row>
    <row r="57">
      <c r="A57" s="16" t="n">
        <v>0.6</v>
      </c>
      <c r="B57" s="21">
        <f>(Assumptions!$C$21+Assumptions!$C$33*Assumptions!$C$41*(Assumptions!$C$22+Assumptions!$C$25*MAX(0,UnitEconomics!$D$12-Assumptions!$C$23)*UnitEconomics!$D$31)+Assumptions!$C$34*(Assumptions!$C$26+Assumptions!$C$25*MAX(0,UnitEconomics!$D$15-Assumptions!$C$27)*UnitEconomics!$D$39)+$A57*Assumptions!$C$29+Assumptions!$C$36*Assumptions!$C$30+Assumptions!$C$37*(Assumptions!$C$116*Assumptions!$C$41+Assumptions!$C$123*Assumptions!$C$41*(1-Assumptions!$C$33)))</f>
        <v/>
      </c>
      <c r="C57" s="21">
        <f>(UnitEconomics!$D$71+Assumptions!$C$33*(Assumptions!$C$41*UnitEconomics!$D$12*UnitEconomics!$D$27+(Assumptions!$C$41*Assumptions!$C$42+Assumptions!$C$43)*Assumptions!$C$98)+Assumptions!$C$34*(UnitEconomics!$D$15*UnitEconomics!$D$38+UnitEconomics!$D$35+UnitEconomics!$D$36)+$A57*UnitEconomics!$D$74+Assumptions!$C$36*UnitEconomics!$D$75)</f>
        <v/>
      </c>
      <c r="D57" s="19">
        <f>IF(B57&gt;0,(B57-C57)/B57,0)</f>
        <v/>
      </c>
      <c r="E57" s="33">
        <f>Forecast!$F$6*B57*12</f>
        <v/>
      </c>
    </row>
    <row r="58">
      <c r="A58" s="16" t="n">
        <v>0.8</v>
      </c>
      <c r="B58" s="21">
        <f>(Assumptions!$C$21+Assumptions!$C$33*Assumptions!$C$41*(Assumptions!$C$22+Assumptions!$C$25*MAX(0,UnitEconomics!$D$12-Assumptions!$C$23)*UnitEconomics!$D$31)+Assumptions!$C$34*(Assumptions!$C$26+Assumptions!$C$25*MAX(0,UnitEconomics!$D$15-Assumptions!$C$27)*UnitEconomics!$D$39)+$A58*Assumptions!$C$29+Assumptions!$C$36*Assumptions!$C$30+Assumptions!$C$37*(Assumptions!$C$116*Assumptions!$C$41+Assumptions!$C$123*Assumptions!$C$41*(1-Assumptions!$C$33)))</f>
        <v/>
      </c>
      <c r="C58" s="21">
        <f>(UnitEconomics!$D$71+Assumptions!$C$33*(Assumptions!$C$41*UnitEconomics!$D$12*UnitEconomics!$D$27+(Assumptions!$C$41*Assumptions!$C$42+Assumptions!$C$43)*Assumptions!$C$98)+Assumptions!$C$34*(UnitEconomics!$D$15*UnitEconomics!$D$38+UnitEconomics!$D$35+UnitEconomics!$D$36)+$A58*UnitEconomics!$D$74+Assumptions!$C$36*UnitEconomics!$D$75)</f>
        <v/>
      </c>
      <c r="D58" s="19">
        <f>IF(B58&gt;0,(B58-C58)/B58,0)</f>
        <v/>
      </c>
      <c r="E58" s="33">
        <f>Forecast!$F$6*B58*12</f>
        <v/>
      </c>
    </row>
    <row r="60">
      <c r="A60" s="5" t="inlineStr">
        <is>
          <t>AI SMS attach rate</t>
        </is>
      </c>
      <c r="B60" s="6" t="n"/>
      <c r="C60" s="6" t="n"/>
      <c r="D60" s="6" t="n"/>
      <c r="E60" s="6" t="n"/>
    </row>
    <row r="61" ht="30" customHeight="1">
      <c r="A61" s="4" t="inlineStr">
        <is>
          <t>AI SMS attach rate</t>
        </is>
      </c>
      <c r="B61" s="4" t="inlineStr">
        <is>
          <t>Revenue per tenant per month</t>
        </is>
      </c>
      <c r="C61" s="4" t="inlineStr">
        <is>
          <t>Cost per tenant per month</t>
        </is>
      </c>
      <c r="D61" s="4" t="inlineStr">
        <is>
          <t>Gross margin</t>
        </is>
      </c>
      <c r="E61" s="4" t="inlineStr">
        <is>
          <t>ARR at month 24, base scenario</t>
        </is>
      </c>
    </row>
    <row r="62">
      <c r="A62" s="16" t="n">
        <v>0.05</v>
      </c>
      <c r="B62" s="21">
        <f>(Assumptions!$C$21+Assumptions!$C$33*Assumptions!$C$41*(Assumptions!$C$22+Assumptions!$C$25*MAX(0,UnitEconomics!$D$12-Assumptions!$C$23)*UnitEconomics!$D$31)+Assumptions!$C$34*(Assumptions!$C$26+Assumptions!$C$25*MAX(0,UnitEconomics!$D$15-Assumptions!$C$27)*UnitEconomics!$D$39)+Assumptions!$C$35*Assumptions!$C$29+$A62*Assumptions!$C$30+Assumptions!$C$37*(Assumptions!$C$116*Assumptions!$C$41+Assumptions!$C$123*Assumptions!$C$41*(1-Assumptions!$C$33)))</f>
        <v/>
      </c>
      <c r="C62" s="21">
        <f>(UnitEconomics!$D$71+Assumptions!$C$33*(Assumptions!$C$41*UnitEconomics!$D$12*UnitEconomics!$D$27+(Assumptions!$C$41*Assumptions!$C$42+Assumptions!$C$43)*Assumptions!$C$98)+Assumptions!$C$34*(UnitEconomics!$D$15*UnitEconomics!$D$38+UnitEconomics!$D$35+UnitEconomics!$D$36)+Assumptions!$C$35*UnitEconomics!$D$74+$A62*UnitEconomics!$D$75)</f>
        <v/>
      </c>
      <c r="D62" s="19">
        <f>IF(B62&gt;0,(B62-C62)/B62,0)</f>
        <v/>
      </c>
      <c r="E62" s="33">
        <f>Forecast!$F$6*B62*12</f>
        <v/>
      </c>
    </row>
    <row r="63">
      <c r="A63" s="16" t="n">
        <v>0.1</v>
      </c>
      <c r="B63" s="21">
        <f>(Assumptions!$C$21+Assumptions!$C$33*Assumptions!$C$41*(Assumptions!$C$22+Assumptions!$C$25*MAX(0,UnitEconomics!$D$12-Assumptions!$C$23)*UnitEconomics!$D$31)+Assumptions!$C$34*(Assumptions!$C$26+Assumptions!$C$25*MAX(0,UnitEconomics!$D$15-Assumptions!$C$27)*UnitEconomics!$D$39)+Assumptions!$C$35*Assumptions!$C$29+$A63*Assumptions!$C$30+Assumptions!$C$37*(Assumptions!$C$116*Assumptions!$C$41+Assumptions!$C$123*Assumptions!$C$41*(1-Assumptions!$C$33)))</f>
        <v/>
      </c>
      <c r="C63" s="21">
        <f>(UnitEconomics!$D$71+Assumptions!$C$33*(Assumptions!$C$41*UnitEconomics!$D$12*UnitEconomics!$D$27+(Assumptions!$C$41*Assumptions!$C$42+Assumptions!$C$43)*Assumptions!$C$98)+Assumptions!$C$34*(UnitEconomics!$D$15*UnitEconomics!$D$38+UnitEconomics!$D$35+UnitEconomics!$D$36)+Assumptions!$C$35*UnitEconomics!$D$74+$A63*UnitEconomics!$D$75)</f>
        <v/>
      </c>
      <c r="D63" s="19">
        <f>IF(B63&gt;0,(B63-C63)/B63,0)</f>
        <v/>
      </c>
      <c r="E63" s="33">
        <f>Forecast!$F$6*B63*12</f>
        <v/>
      </c>
    </row>
    <row r="64">
      <c r="A64" s="16" t="n">
        <v>0.2</v>
      </c>
      <c r="B64" s="21">
        <f>(Assumptions!$C$21+Assumptions!$C$33*Assumptions!$C$41*(Assumptions!$C$22+Assumptions!$C$25*MAX(0,UnitEconomics!$D$12-Assumptions!$C$23)*UnitEconomics!$D$31)+Assumptions!$C$34*(Assumptions!$C$26+Assumptions!$C$25*MAX(0,UnitEconomics!$D$15-Assumptions!$C$27)*UnitEconomics!$D$39)+Assumptions!$C$35*Assumptions!$C$29+$A64*Assumptions!$C$30+Assumptions!$C$37*(Assumptions!$C$116*Assumptions!$C$41+Assumptions!$C$123*Assumptions!$C$41*(1-Assumptions!$C$33)))</f>
        <v/>
      </c>
      <c r="C64" s="21">
        <f>(UnitEconomics!$D$71+Assumptions!$C$33*(Assumptions!$C$41*UnitEconomics!$D$12*UnitEconomics!$D$27+(Assumptions!$C$41*Assumptions!$C$42+Assumptions!$C$43)*Assumptions!$C$98)+Assumptions!$C$34*(UnitEconomics!$D$15*UnitEconomics!$D$38+UnitEconomics!$D$35+UnitEconomics!$D$36)+Assumptions!$C$35*UnitEconomics!$D$74+$A64*UnitEconomics!$D$75)</f>
        <v/>
      </c>
      <c r="D64" s="19">
        <f>IF(B64&gt;0,(B64-C64)/B64,0)</f>
        <v/>
      </c>
      <c r="E64" s="33">
        <f>Forecast!$F$6*B64*12</f>
        <v/>
      </c>
    </row>
    <row r="65">
      <c r="A65" s="16" t="n">
        <v>0.35</v>
      </c>
      <c r="B65" s="21">
        <f>(Assumptions!$C$21+Assumptions!$C$33*Assumptions!$C$41*(Assumptions!$C$22+Assumptions!$C$25*MAX(0,UnitEconomics!$D$12-Assumptions!$C$23)*UnitEconomics!$D$31)+Assumptions!$C$34*(Assumptions!$C$26+Assumptions!$C$25*MAX(0,UnitEconomics!$D$15-Assumptions!$C$27)*UnitEconomics!$D$39)+Assumptions!$C$35*Assumptions!$C$29+$A65*Assumptions!$C$30+Assumptions!$C$37*(Assumptions!$C$116*Assumptions!$C$41+Assumptions!$C$123*Assumptions!$C$41*(1-Assumptions!$C$33)))</f>
        <v/>
      </c>
      <c r="C65" s="21">
        <f>(UnitEconomics!$D$71+Assumptions!$C$33*(Assumptions!$C$41*UnitEconomics!$D$12*UnitEconomics!$D$27+(Assumptions!$C$41*Assumptions!$C$42+Assumptions!$C$43)*Assumptions!$C$98)+Assumptions!$C$34*(UnitEconomics!$D$15*UnitEconomics!$D$38+UnitEconomics!$D$35+UnitEconomics!$D$36)+Assumptions!$C$35*UnitEconomics!$D$74+$A65*UnitEconomics!$D$75)</f>
        <v/>
      </c>
      <c r="D65" s="19">
        <f>IF(B65&gt;0,(B65-C65)/B65,0)</f>
        <v/>
      </c>
      <c r="E65" s="33">
        <f>Forecast!$F$6*B65*12</f>
        <v/>
      </c>
    </row>
    <row r="66">
      <c r="A66" s="16" t="n">
        <v>0.5</v>
      </c>
      <c r="B66" s="21">
        <f>(Assumptions!$C$21+Assumptions!$C$33*Assumptions!$C$41*(Assumptions!$C$22+Assumptions!$C$25*MAX(0,UnitEconomics!$D$12-Assumptions!$C$23)*UnitEconomics!$D$31)+Assumptions!$C$34*(Assumptions!$C$26+Assumptions!$C$25*MAX(0,UnitEconomics!$D$15-Assumptions!$C$27)*UnitEconomics!$D$39)+Assumptions!$C$35*Assumptions!$C$29+$A66*Assumptions!$C$30+Assumptions!$C$37*(Assumptions!$C$116*Assumptions!$C$41+Assumptions!$C$123*Assumptions!$C$41*(1-Assumptions!$C$33)))</f>
        <v/>
      </c>
      <c r="C66" s="21">
        <f>(UnitEconomics!$D$71+Assumptions!$C$33*(Assumptions!$C$41*UnitEconomics!$D$12*UnitEconomics!$D$27+(Assumptions!$C$41*Assumptions!$C$42+Assumptions!$C$43)*Assumptions!$C$98)+Assumptions!$C$34*(UnitEconomics!$D$15*UnitEconomics!$D$38+UnitEconomics!$D$35+UnitEconomics!$D$36)+Assumptions!$C$35*UnitEconomics!$D$74+$A66*UnitEconomics!$D$75)</f>
        <v/>
      </c>
      <c r="D66" s="19">
        <f>IF(B66&gt;0,(B66-C66)/B66,0)</f>
        <v/>
      </c>
      <c r="E66" s="33">
        <f>Forecast!$F$6*B66*12</f>
        <v/>
      </c>
    </row>
    <row r="68">
      <c r="A68" s="5" t="inlineStr">
        <is>
          <t>Platform fee</t>
        </is>
      </c>
      <c r="B68" s="6" t="n"/>
      <c r="C68" s="6" t="n"/>
      <c r="D68" s="6" t="n"/>
      <c r="E68" s="6" t="n"/>
    </row>
    <row r="69" ht="30" customHeight="1">
      <c r="A69" s="4" t="inlineStr">
        <is>
          <t>Platform fee</t>
        </is>
      </c>
      <c r="B69" s="4" t="inlineStr">
        <is>
          <t>Revenue per tenant per month</t>
        </is>
      </c>
      <c r="C69" s="4" t="inlineStr">
        <is>
          <t>Cost per tenant per month</t>
        </is>
      </c>
      <c r="D69" s="4" t="inlineStr">
        <is>
          <t>Gross margin</t>
        </is>
      </c>
      <c r="E69" s="4" t="inlineStr">
        <is>
          <t>ARR at month 24, base scenario</t>
        </is>
      </c>
    </row>
    <row r="70">
      <c r="A70" s="39" t="n">
        <v>299</v>
      </c>
      <c r="B70" s="21">
        <f>($A70+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70"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70" s="19">
        <f>IF(B70&gt;0,(B70-C70)/B70,0)</f>
        <v/>
      </c>
      <c r="E70" s="33">
        <f>Forecast!$F$6*B70*12</f>
        <v/>
      </c>
    </row>
    <row r="71">
      <c r="A71" s="39" t="n">
        <v>349</v>
      </c>
      <c r="B71" s="21">
        <f>($A71+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71"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71" s="19">
        <f>IF(B71&gt;0,(B71-C71)/B71,0)</f>
        <v/>
      </c>
      <c r="E71" s="33">
        <f>Forecast!$F$6*B71*12</f>
        <v/>
      </c>
    </row>
    <row r="72">
      <c r="A72" s="39" t="n">
        <v>399</v>
      </c>
      <c r="B72" s="21">
        <f>($A72+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72"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72" s="19">
        <f>IF(B72&gt;0,(B72-C72)/B72,0)</f>
        <v/>
      </c>
      <c r="E72" s="33">
        <f>Forecast!$F$6*B72*12</f>
        <v/>
      </c>
    </row>
    <row r="73">
      <c r="A73" s="39" t="n">
        <v>449</v>
      </c>
      <c r="B73" s="21">
        <f>($A73+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73"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73" s="19">
        <f>IF(B73&gt;0,(B73-C73)/B73,0)</f>
        <v/>
      </c>
      <c r="E73" s="33">
        <f>Forecast!$F$6*B73*12</f>
        <v/>
      </c>
    </row>
    <row r="74">
      <c r="A74" s="39" t="n">
        <v>499</v>
      </c>
      <c r="B74" s="21">
        <f>($A74+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74"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74" s="19">
        <f>IF(B74&gt;0,(B74-C74)/B74,0)</f>
        <v/>
      </c>
      <c r="E74" s="33">
        <f>Forecast!$F$6*B74*12</f>
        <v/>
      </c>
    </row>
    <row r="76">
      <c r="A76" s="5" t="inlineStr">
        <is>
          <t>Addressable firms</t>
        </is>
      </c>
      <c r="B76" s="6" t="n"/>
      <c r="C76" s="6" t="n"/>
      <c r="D76" s="6" t="n"/>
      <c r="E76" s="6" t="n"/>
    </row>
    <row r="77" ht="30" customHeight="1">
      <c r="A77" s="4" t="inlineStr">
        <is>
          <t>Addressable firms</t>
        </is>
      </c>
      <c r="B77" s="4" t="inlineStr">
        <is>
          <t>Revenue per tenant per month</t>
        </is>
      </c>
      <c r="C77" s="4" t="inlineStr">
        <is>
          <t>Cost per tenant per month</t>
        </is>
      </c>
      <c r="D77" s="4" t="inlineStr">
        <is>
          <t>Gross margin</t>
        </is>
      </c>
      <c r="E77" s="4" t="inlineStr">
        <is>
          <t>ARR at month 24, base scenario</t>
        </is>
      </c>
    </row>
    <row r="78">
      <c r="A78" s="9" t="n">
        <v>901</v>
      </c>
      <c r="B78" s="21">
        <f>(Assumptions!$C$21+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78"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78" s="19">
        <f>IF(B78&gt;0,(B78-C78)/B78,0)</f>
        <v/>
      </c>
      <c r="E78" s="33">
        <f>MAX(Assumptions!$C$17,ROUND($A78*Assumptions!$C$14,0))*B78*12</f>
        <v/>
      </c>
    </row>
    <row r="79">
      <c r="A79" s="9" t="n">
        <v>1256</v>
      </c>
      <c r="B79" s="21">
        <f>(Assumptions!$C$21+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79"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79" s="19">
        <f>IF(B79&gt;0,(B79-C79)/B79,0)</f>
        <v/>
      </c>
      <c r="E79" s="33">
        <f>MAX(Assumptions!$C$17,ROUND($A79*Assumptions!$C$14,0))*B79*12</f>
        <v/>
      </c>
    </row>
    <row r="80">
      <c r="A80" s="9" t="n">
        <v>4664</v>
      </c>
      <c r="B80" s="21">
        <f>(Assumptions!$C$21+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80"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80" s="19">
        <f>IF(B80&gt;0,(B80-C80)/B80,0)</f>
        <v/>
      </c>
      <c r="E80" s="33">
        <f>MAX(Assumptions!$C$17,ROUND($A80*Assumptions!$C$14,0))*B80*12</f>
        <v/>
      </c>
    </row>
    <row r="81">
      <c r="A81" s="9" t="n">
        <v>9260</v>
      </c>
      <c r="B81" s="21">
        <f>(Assumptions!$C$21+Assumptions!$C$33*Assumptions!$C$41*(Assumptions!$C$22+Assumptions!$C$25*MAX(0,UnitEconomics!$D$12-Assumptions!$C$23)*UnitEconomics!$D$31)+Assumptions!$C$34*(Assumptions!$C$26+Assumptions!$C$25*MAX(0,UnitEconomics!$D$15-Assumptions!$C$27)*UnitEconomics!$D$39)+Assumptions!$C$35*Assumptions!$C$29+Assumptions!$C$36*Assumptions!$C$30+Assumptions!$C$37*(Assumptions!$C$116*Assumptions!$C$41+Assumptions!$C$123*Assumptions!$C$41*(1-Assumptions!$C$33)))</f>
        <v/>
      </c>
      <c r="C81" s="21">
        <f>(UnitEconomics!$D$71+Assumptions!$C$33*(Assumptions!$C$41*UnitEconomics!$D$12*UnitEconomics!$D$27+(Assumptions!$C$41*Assumptions!$C$42+Assumptions!$C$43)*Assumptions!$C$98)+Assumptions!$C$34*(UnitEconomics!$D$15*UnitEconomics!$D$38+UnitEconomics!$D$35+UnitEconomics!$D$36)+Assumptions!$C$35*UnitEconomics!$D$74+Assumptions!$C$36*UnitEconomics!$D$75)</f>
        <v/>
      </c>
      <c r="D81" s="19">
        <f>IF(B81&gt;0,(B81-C81)/B81,0)</f>
        <v/>
      </c>
      <c r="E81" s="33">
        <f>MAX(Assumptions!$C$17,ROUND($A81*Assumptions!$C$14,0))*B81*12</f>
        <v/>
      </c>
    </row>
    <row r="83">
      <c r="A83" s="23" t="inlineStr">
        <is>
          <t>Seats: texting volume is held at base, though more seats would send more. Minutes: voice cost moves in step with minutes at the base cost per minute. Hosting per tenant is held at today's tenant 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2026-10-05T03:20:46Z</dcterms:created>
  <dcterms:modified xsi:type="dcterms:W3CDTF">2026-10-05T03:20:46Z</dcterms:modified>
</cp:coreProperties>
</file>